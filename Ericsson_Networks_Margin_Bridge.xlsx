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s" sheetId="2" state="visible" r:id="rId4"/>
    <sheet name="Margin Bridge" sheetId="3" state="visible" r:id="rId5"/>
    <sheet name="Discou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Discount off list price. Simulated input.</t>
        </r>
      </text>
    </comment>
  </commentList>
</comments>
</file>

<file path=xl/sharedStrings.xml><?xml version="1.0" encoding="utf-8"?>
<sst xmlns="http://schemas.openxmlformats.org/spreadsheetml/2006/main" count="991" uniqueCount="148">
  <si>
    <t xml:space="preserve">Ericsson Networks: margin bridge on a simulated deal portfolio</t>
  </si>
  <si>
    <t xml:space="preserve">Built by Anh Thy (Anna) Tran for the Early Career Program, Commercial Analytics Manager application (Req 791802).</t>
  </si>
  <si>
    <t xml:space="preserve">What this is</t>
  </si>
  <si>
    <t xml:space="preserve">A simulated portfolio of 123 deal lines sold to fictional operators across Ericsson's four market areas, in two quarters (Q2-26 and Q3-26).</t>
  </si>
  <si>
    <t xml:space="preserve">Each deal mixes four product lines: Radio Hardware, RAN Software, Rollout Services and Support Services.</t>
  </si>
  <si>
    <t xml:space="preserve">All deal data is SIMULATED. It is not Ericsson data. Prices, discounts and costs are illustrative.</t>
  </si>
  <si>
    <t xml:space="preserve">Question it answers</t>
  </si>
  <si>
    <t xml:space="preserve">Why did gross margin fall between the two quarters, and how much of the drop came from product mix, price (discount) and cost?</t>
  </si>
  <si>
    <t xml:space="preserve">How to read it</t>
  </si>
  <si>
    <t xml:space="preserve">Deals: one row per deal line. Blue cells are inputs; black cells are formulas.</t>
  </si>
  <si>
    <t xml:space="preserve">Margin Bridge: change the yellow period cells to compare any two quarters. The bridge splits the gross margin change into three effects:</t>
  </si>
  <si>
    <t xml:space="preserve">   Mix effect = (share of sales in period B - share in period A) x (product line margin A - total margin A). A line that grows its share with a below-average margin pulls the total down.</t>
  </si>
  <si>
    <t xml:space="preserve">   Price effect = share B x (margin at period B price and period A unit cost - margin A)</t>
  </si>
  <si>
    <t xml:space="preserve">   Cost effect = share B x (margin B - margin at period B price and period A unit cost)</t>
  </si>
  <si>
    <t xml:space="preserve">   The three effects add up exactly to the total change (see the check cell).</t>
  </si>
  <si>
    <t xml:space="preserve">Discounts: average discount off list price by market area and product line, period A vs B.</t>
  </si>
  <si>
    <t xml:space="preserve">Limitation</t>
  </si>
  <si>
    <t xml:space="preserve">The price effect also includes shifts in the mix of deals within a product line (e.g. more volume from a market with deeper discounts). The Discounts sheet shows where that comes from.</t>
  </si>
  <si>
    <t xml:space="preserve">Real Ericsson context (public figures, used on slide 1 of the deck)</t>
  </si>
  <si>
    <t xml:space="preserve">Q2 2026: Networks sales fell 8% to SEK 33.0 billion. Networks adjusted gross margin was 50.4%.</t>
  </si>
  <si>
    <t xml:space="preserve">Q3 2026 outlook: Networks adjusted gross margin expected at 48-50%, with pressure from higher volumes of network rollout projects and component costs.</t>
  </si>
  <si>
    <t xml:space="preserve">Source: Ericsson Second quarter report 2026 (14 July 2026), https://www.ericsson.com/en/investors ; press coverage: RTTNews, 14 July 2026.</t>
  </si>
  <si>
    <t xml:space="preserve">Deal ID</t>
  </si>
  <si>
    <t xml:space="preserve">Quarter</t>
  </si>
  <si>
    <t xml:space="preserve">Market Area</t>
  </si>
  <si>
    <t xml:space="preserve">Customer</t>
  </si>
  <si>
    <t xml:space="preserve">Deal Type</t>
  </si>
  <si>
    <t xml:space="preserve">Product Line</t>
  </si>
  <si>
    <t xml:space="preserve">Unit</t>
  </si>
  <si>
    <t xml:space="preserve">Units</t>
  </si>
  <si>
    <t xml:space="preserve">List Price (SEK k/unit)</t>
  </si>
  <si>
    <t xml:space="preserve">Discount</t>
  </si>
  <si>
    <t xml:space="preserve">Unit Cost (SEK k/unit)</t>
  </si>
  <si>
    <t xml:space="preserve">Net Price (SEK k/unit)</t>
  </si>
  <si>
    <t xml:space="preserve">List Sales (SEK k)</t>
  </si>
  <si>
    <t xml:space="preserve">Net Sales (SEK k)</t>
  </si>
  <si>
    <t xml:space="preserve">COGS (SEK k)</t>
  </si>
  <si>
    <t xml:space="preserve">Gross Margin (SEK k)</t>
  </si>
  <si>
    <t xml:space="preserve">GM %</t>
  </si>
  <si>
    <t xml:space="preserve">Q2-AME-01</t>
  </si>
  <si>
    <t xml:space="preserve">Q2-26</t>
  </si>
  <si>
    <t xml:space="preserve">Americas</t>
  </si>
  <si>
    <t xml:space="preserve">Operator C</t>
  </si>
  <si>
    <t xml:space="preserve">Network modernisation</t>
  </si>
  <si>
    <t xml:space="preserve">Radio Hardware</t>
  </si>
  <si>
    <t xml:space="preserve">radio unit</t>
  </si>
  <si>
    <t xml:space="preserve">RAN Software</t>
  </si>
  <si>
    <t xml:space="preserve">feature licence</t>
  </si>
  <si>
    <t xml:space="preserve">Rollout Services</t>
  </si>
  <si>
    <t xml:space="preserve">site</t>
  </si>
  <si>
    <t xml:space="preserve">Support Services</t>
  </si>
  <si>
    <t xml:space="preserve">site-year</t>
  </si>
  <si>
    <t xml:space="preserve">Q2-AME-02</t>
  </si>
  <si>
    <t xml:space="preserve">Operator B</t>
  </si>
  <si>
    <t xml:space="preserve">New site rollout</t>
  </si>
  <si>
    <t xml:space="preserve">Q2-AME-03</t>
  </si>
  <si>
    <t xml:space="preserve">Q2-AME-04</t>
  </si>
  <si>
    <t xml:space="preserve">Q2-EUR-01</t>
  </si>
  <si>
    <t xml:space="preserve">Europe, Middle East &amp; Africa</t>
  </si>
  <si>
    <t xml:space="preserve">Operator E</t>
  </si>
  <si>
    <t xml:space="preserve">Capacity expansion</t>
  </si>
  <si>
    <t xml:space="preserve">Q2-EUR-02</t>
  </si>
  <si>
    <t xml:space="preserve">Q2-EUR-03</t>
  </si>
  <si>
    <t xml:space="preserve">Operator F</t>
  </si>
  <si>
    <t xml:space="preserve">Q2-EUR-04</t>
  </si>
  <si>
    <t xml:space="preserve">Q2-NOR-01</t>
  </si>
  <si>
    <t xml:space="preserve">North East Asia</t>
  </si>
  <si>
    <t xml:space="preserve">Operator H</t>
  </si>
  <si>
    <t xml:space="preserve">Q2-NOR-02</t>
  </si>
  <si>
    <t xml:space="preserve">Operator G</t>
  </si>
  <si>
    <t xml:space="preserve">Q2-NOR-03</t>
  </si>
  <si>
    <t xml:space="preserve">Q2-NOR-04</t>
  </si>
  <si>
    <t xml:space="preserve">Q2-SOU-01</t>
  </si>
  <si>
    <t xml:space="preserve">South East Asia, Oceania &amp; India</t>
  </si>
  <si>
    <t xml:space="preserve">Operator K</t>
  </si>
  <si>
    <t xml:space="preserve">Q2-SOU-02</t>
  </si>
  <si>
    <t xml:space="preserve">Q2-SOU-03</t>
  </si>
  <si>
    <t xml:space="preserve">Operator J</t>
  </si>
  <si>
    <t xml:space="preserve">Q2-SOU-04</t>
  </si>
  <si>
    <t xml:space="preserve">Operator I</t>
  </si>
  <si>
    <t xml:space="preserve">Q3-AME-01</t>
  </si>
  <si>
    <t xml:space="preserve">Q3-26</t>
  </si>
  <si>
    <t xml:space="preserve">Q3-AME-02</t>
  </si>
  <si>
    <t xml:space="preserve">Q3-AME-03</t>
  </si>
  <si>
    <t xml:space="preserve">Operator A</t>
  </si>
  <si>
    <t xml:space="preserve">Q3-AME-04</t>
  </si>
  <si>
    <t xml:space="preserve">Q3-EUR-01</t>
  </si>
  <si>
    <t xml:space="preserve">Q3-EUR-02</t>
  </si>
  <si>
    <t xml:space="preserve">Q3-EUR-03</t>
  </si>
  <si>
    <t xml:space="preserve">Q3-EUR-04</t>
  </si>
  <si>
    <t xml:space="preserve">Q3-NOR-01</t>
  </si>
  <si>
    <t xml:space="preserve">Q3-NOR-02</t>
  </si>
  <si>
    <t xml:space="preserve">Q3-NOR-03</t>
  </si>
  <si>
    <t xml:space="preserve">Q3-NOR-04</t>
  </si>
  <si>
    <t xml:space="preserve">Q3-SOU-01</t>
  </si>
  <si>
    <t xml:space="preserve">Q3-SOU-02</t>
  </si>
  <si>
    <t xml:space="preserve">Q3-SOU-03</t>
  </si>
  <si>
    <t xml:space="preserve">Q3-SOU-04</t>
  </si>
  <si>
    <t xml:space="preserve">Q3-SOU-05</t>
  </si>
  <si>
    <t xml:space="preserve">Gross margin bridge: what moved between two quarters</t>
  </si>
  <si>
    <t xml:space="preserve">Simulated deal data. Change the yellow cells to compare other periods.</t>
  </si>
  <si>
    <t xml:space="preserve">Period A</t>
  </si>
  <si>
    <t xml:space="preserve">Metric</t>
  </si>
  <si>
    <t xml:space="preserve">Change</t>
  </si>
  <si>
    <t xml:space="preserve">Period B</t>
  </si>
  <si>
    <t xml:space="preserve">Net sales (SEK m)</t>
  </si>
  <si>
    <t xml:space="preserve">Gross margin (SEK m)</t>
  </si>
  <si>
    <t xml:space="preserve">Gross margin %</t>
  </si>
  <si>
    <t xml:space="preserve">(percentage points)</t>
  </si>
  <si>
    <t xml:space="preserve">Units A</t>
  </si>
  <si>
    <t xml:space="preserve">Net Sales A (SEK k)</t>
  </si>
  <si>
    <t xml:space="preserve">COGS A (SEK k)</t>
  </si>
  <si>
    <t xml:space="preserve">Units B</t>
  </si>
  <si>
    <t xml:space="preserve">Net Sales B (SEK k)</t>
  </si>
  <si>
    <t xml:space="preserve">COGS B (SEK k)</t>
  </si>
  <si>
    <t xml:space="preserve">Share of sales A</t>
  </si>
  <si>
    <t xml:space="preserve">Share of sales B</t>
  </si>
  <si>
    <t xml:space="preserve">GM % A</t>
  </si>
  <si>
    <t xml:space="preserve">GM % B</t>
  </si>
  <si>
    <t xml:space="preserve">Net price A (SEK k/unit)</t>
  </si>
  <si>
    <t xml:space="preserve">Net price B (SEK k/unit)</t>
  </si>
  <si>
    <t xml:space="preserve">Unit cost A (SEK k/unit)</t>
  </si>
  <si>
    <t xml:space="preserve">Unit cost B (SEK k/unit)</t>
  </si>
  <si>
    <t xml:space="preserve">Mix effect (pp)</t>
  </si>
  <si>
    <t xml:space="preserve">Price effect (pp)</t>
  </si>
  <si>
    <t xml:space="preserve">Cost effect (pp)</t>
  </si>
  <si>
    <t xml:space="preserve">Total (pp)</t>
  </si>
  <si>
    <t xml:space="preserve">Total</t>
  </si>
  <si>
    <t xml:space="preserve">Check: effects sum to the total margin change</t>
  </si>
  <si>
    <t xml:space="preserve">Waterfall helper (feeds the chart)</t>
  </si>
  <si>
    <t xml:space="preserve">Step</t>
  </si>
  <si>
    <t xml:space="preserve">Value</t>
  </si>
  <si>
    <t xml:space="preserve">Cumulative</t>
  </si>
  <si>
    <t xml:space="preserve">Base</t>
  </si>
  <si>
    <t xml:space="preserve">Decrease</t>
  </si>
  <si>
    <t xml:space="preserve">Increase</t>
  </si>
  <si>
    <t xml:space="preserve">Mix</t>
  </si>
  <si>
    <t xml:space="preserve">Price / discount</t>
  </si>
  <si>
    <t xml:space="preserve">Cost</t>
  </si>
  <si>
    <t xml:space="preserve">Average discount off list price, by market area and product line</t>
  </si>
  <si>
    <t xml:space="preserve">Periods follow the yellow cells on 'Margin Bridge'. Red = discount deepened by 2pp or more.</t>
  </si>
  <si>
    <t xml:space="preserve">List sales A (SEK k)</t>
  </si>
  <si>
    <t xml:space="preserve">Net sales A (SEK k)</t>
  </si>
  <si>
    <t xml:space="preserve">Avg discount A</t>
  </si>
  <si>
    <t xml:space="preserve">List sales B (SEK k)</t>
  </si>
  <si>
    <t xml:space="preserve">Net sales B (SEK k)</t>
  </si>
  <si>
    <t xml:space="preserve">Avg discount B</t>
  </si>
  <si>
    <t xml:space="preserve">Change (pp)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</si>
</sst>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#,##0.0"/>
    <numFmt numFmtId="167" formatCode="0.0%"/>
    <numFmt numFmtId="168" formatCode="\+0.0%;\-0.0%;0.0%"/>
    <numFmt numFmtId="169" formatCode="\+0.00%;\-0.00%;0.00%"/>
    <numFmt numFmtId="170" formatCode="0.0000%"/>
    <numFmt numFmtId="171" formatCode="0.00%"/>
    <numFmt numFmtId="172" formatCode="0.0%;\-0.0%;\-"/>
    <numFmt numFmtId="173" formatCode="\+0.0%;\-0.0%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1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EF1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2E854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 bridge (simulated portfolio)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'Margin Bridge'!D21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'Margin Bridge'!$A$22:$A$26</c:f>
              <c:strCache>
                <c:ptCount val="5"/>
                <c:pt idx="0">
                  <c:v>Q2-26 gross margin</c:v>
                </c:pt>
                <c:pt idx="1">
                  <c:v>Mix</c:v>
                </c:pt>
                <c:pt idx="2">
                  <c:v>Price / discount</c:v>
                </c:pt>
                <c:pt idx="3">
                  <c:v>Cost</c:v>
                </c:pt>
                <c:pt idx="4">
                  <c:v>Q3-26 gross margin</c:v>
                </c:pt>
              </c:strCache>
            </c:strRef>
          </c:cat>
          <c:val>
            <c:numRef>
              <c:f>'Margin Bridge'!$D$22:$D$26</c:f>
              <c:numCache>
                <c:formatCode>0.00%</c:formatCode>
                <c:ptCount val="5"/>
                <c:pt idx="0">
                  <c:v>0</c:v>
                </c:pt>
                <c:pt idx="1">
                  <c:v>0.496975939234356</c:v>
                </c:pt>
                <c:pt idx="2">
                  <c:v>0.49188887258187</c:v>
                </c:pt>
                <c:pt idx="3">
                  <c:v>0.484455569982116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'Margin Bridge'!E21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'Margin Bridge'!$A$22:$A$26</c:f>
              <c:strCache>
                <c:ptCount val="5"/>
                <c:pt idx="0">
                  <c:v>Q2-26 gross margin</c:v>
                </c:pt>
                <c:pt idx="1">
                  <c:v>Mix</c:v>
                </c:pt>
                <c:pt idx="2">
                  <c:v>Price / discount</c:v>
                </c:pt>
                <c:pt idx="3">
                  <c:v>Cost</c:v>
                </c:pt>
                <c:pt idx="4">
                  <c:v>Q3-26 gross margin</c:v>
                </c:pt>
              </c:strCache>
            </c:strRef>
          </c:cat>
          <c:val>
            <c:numRef>
              <c:f>'Margin Bridge'!$E$22:$E$26</c:f>
              <c:numCache>
                <c:formatCode>0.00%</c:formatCode>
                <c:ptCount val="5"/>
                <c:pt idx="0">
                  <c:v>0</c:v>
                </c:pt>
                <c:pt idx="1">
                  <c:v>0.0113798821873852</c:v>
                </c:pt>
                <c:pt idx="2">
                  <c:v>0.00508706665248543</c:v>
                </c:pt>
                <c:pt idx="3">
                  <c:v>0.00743330259975461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'Margin Bridge'!F21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e854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'Margin Bridge'!$A$22:$A$26</c:f>
              <c:strCache>
                <c:ptCount val="5"/>
                <c:pt idx="0">
                  <c:v>Q2-26 gross margin</c:v>
                </c:pt>
                <c:pt idx="1">
                  <c:v>Mix</c:v>
                </c:pt>
                <c:pt idx="2">
                  <c:v>Price / discount</c:v>
                </c:pt>
                <c:pt idx="3">
                  <c:v>Cost</c:v>
                </c:pt>
                <c:pt idx="4">
                  <c:v>Q3-26 gross margin</c:v>
                </c:pt>
              </c:strCache>
            </c:strRef>
          </c:cat>
          <c:val>
            <c:numRef>
              <c:f>'Margin Bridge'!$F$22:$F$26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'Margin Bridge'!G21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234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'Margin Bridge'!$A$22:$A$26</c:f>
              <c:strCache>
                <c:ptCount val="5"/>
                <c:pt idx="0">
                  <c:v>Q2-26 gross margin</c:v>
                </c:pt>
                <c:pt idx="1">
                  <c:v>Mix</c:v>
                </c:pt>
                <c:pt idx="2">
                  <c:v>Price / discount</c:v>
                </c:pt>
                <c:pt idx="3">
                  <c:v>Cost</c:v>
                </c:pt>
                <c:pt idx="4">
                  <c:v>Q3-26 gross margin</c:v>
                </c:pt>
              </c:strCache>
            </c:strRef>
          </c:cat>
          <c:val>
            <c:numRef>
              <c:f>'Margin Bridge'!$G$22:$G$26</c:f>
              <c:numCache>
                <c:formatCode>0.00%</c:formatCode>
                <c:ptCount val="5"/>
                <c:pt idx="0">
                  <c:v>0.508355821421741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0.484455569982116</c:v>
                </c:pt>
              </c:numCache>
            </c:numRef>
          </c:val>
        </c:ser>
        <c:gapWidth val="60"/>
        <c:overlap val="100"/>
        <c:axId val="66407291"/>
        <c:axId val="62906750"/>
      </c:barChart>
      <c:catAx>
        <c:axId val="66407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06750"/>
        <c:crosses val="autoZero"/>
        <c:auto val="1"/>
        <c:lblAlgn val="ctr"/>
        <c:lblOffset val="100"/>
        <c:noMultiLvlLbl val="0"/>
      </c:catAx>
      <c:valAx>
        <c:axId val="62906750"/>
        <c:scaling>
          <c:orientation val="minMax"/>
          <c:max val="0.52"/>
          <c:min val="0.46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072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18</xdr:row>
      <xdr:rowOff>160920</xdr:rowOff>
    </xdr:from>
    <xdr:to>
      <xdr:col>14</xdr:col>
      <xdr:colOff>471240</xdr:colOff>
      <xdr:row>33</xdr:row>
      <xdr:rowOff>182880</xdr:rowOff>
    </xdr:to>
    <xdr:graphicFrame>
      <xdr:nvGraphicFramePr>
        <xdr:cNvPr id="0" name="Chart 1"/>
        <xdr:cNvGraphicFramePr/>
      </xdr:nvGraphicFramePr>
      <xdr:xfrm>
        <a:off x="8248680" y="3962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ealLines" displayName="DealLines" ref="A1:Q124" headerRowCount="1" totalsRowCount="0" totalsRowShown="0">
  <autoFilter ref="A1:Q124"/>
  <tableColumns count="17">
    <tableColumn id="1" name="Deal ID"/>
    <tableColumn id="2" name="Quarter"/>
    <tableColumn id="3" name="Market Area"/>
    <tableColumn id="4" name="Customer"/>
    <tableColumn id="5" name="Deal Type"/>
    <tableColumn id="6" name="Product Line"/>
    <tableColumn id="7" name="Unit"/>
    <tableColumn id="8" name="Units"/>
    <tableColumn id="9" name="List Price (SEK k/unit)"/>
    <tableColumn id="10" name="Discount"/>
    <tableColumn id="11" name="Unit Cost (SEK k/unit)"/>
    <tableColumn id="12" name="Net Price (SEK k/unit)"/>
    <tableColumn id="13" name="List Sales (SEK k)"/>
    <tableColumn id="14" name="Net Sales (SEK k)"/>
    <tableColumn id="15" name="COGS (SEK k)"/>
    <tableColumn id="16" name="Gross Margin (SEK k)"/>
    <tableColumn id="17" name="GM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2" min="11" style="0" width="12"/>
    <col collapsed="false" customWidth="true" hidden="false" outlineLevel="0" max="16" min="13" style="0" width="13"/>
    <col collapsed="false" customWidth="true" hidden="false" outlineLevel="0" max="17" min="17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</row>
    <row r="2" customFormat="false" ht="15" hidden="false" customHeight="false" outlineLevel="0" collapsed="false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6" t="n">
        <v>912</v>
      </c>
      <c r="I2" s="7" t="n">
        <v>95</v>
      </c>
      <c r="J2" s="8" t="n">
        <v>0.261</v>
      </c>
      <c r="K2" s="7" t="n">
        <v>33.9</v>
      </c>
      <c r="L2" s="9" t="n">
        <f aca="false">I2*(1-J2)</f>
        <v>70.205</v>
      </c>
      <c r="M2" s="10" t="n">
        <f aca="false">H2*I2</f>
        <v>86640</v>
      </c>
      <c r="N2" s="10" t="n">
        <f aca="false">H2*L2</f>
        <v>64026.96</v>
      </c>
      <c r="O2" s="10" t="n">
        <f aca="false">H2*K2</f>
        <v>30916.8</v>
      </c>
      <c r="P2" s="10" t="n">
        <f aca="false">N2-O2</f>
        <v>33110.16</v>
      </c>
      <c r="Q2" s="11" t="n">
        <f aca="false">IF(N2=0,0,P2/N2)</f>
        <v>0.517128409657432</v>
      </c>
    </row>
    <row r="3" customFormat="false" ht="15" hidden="false" customHeight="false" outlineLevel="0" collapsed="false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46</v>
      </c>
      <c r="G3" s="5" t="s">
        <v>47</v>
      </c>
      <c r="H3" s="6" t="n">
        <v>725</v>
      </c>
      <c r="I3" s="7" t="n">
        <v>40</v>
      </c>
      <c r="J3" s="8" t="n">
        <v>0.278</v>
      </c>
      <c r="K3" s="7" t="n">
        <v>5.7</v>
      </c>
      <c r="L3" s="9" t="n">
        <f aca="false">I3*(1-J3)</f>
        <v>28.88</v>
      </c>
      <c r="M3" s="10" t="n">
        <f aca="false">H3*I3</f>
        <v>29000</v>
      </c>
      <c r="N3" s="10" t="n">
        <f aca="false">H3*L3</f>
        <v>20938</v>
      </c>
      <c r="O3" s="10" t="n">
        <f aca="false">H3*K3</f>
        <v>4132.5</v>
      </c>
      <c r="P3" s="10" t="n">
        <f aca="false">N3-O3</f>
        <v>16805.5</v>
      </c>
      <c r="Q3" s="11" t="n">
        <f aca="false">IF(N3=0,0,P3/N3)</f>
        <v>0.802631578947369</v>
      </c>
    </row>
    <row r="4" customFormat="false" ht="15" hidden="false" customHeight="false" outlineLevel="0" collapsed="false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48</v>
      </c>
      <c r="G4" s="5" t="s">
        <v>49</v>
      </c>
      <c r="H4" s="6" t="n">
        <v>84</v>
      </c>
      <c r="I4" s="7" t="n">
        <v>180</v>
      </c>
      <c r="J4" s="8" t="n">
        <v>0.076</v>
      </c>
      <c r="K4" s="7" t="n">
        <v>142.6</v>
      </c>
      <c r="L4" s="9" t="n">
        <f aca="false">I4*(1-J4)</f>
        <v>166.32</v>
      </c>
      <c r="M4" s="10" t="n">
        <f aca="false">H4*I4</f>
        <v>15120</v>
      </c>
      <c r="N4" s="10" t="n">
        <f aca="false">H4*L4</f>
        <v>13970.88</v>
      </c>
      <c r="O4" s="10" t="n">
        <f aca="false">H4*K4</f>
        <v>11978.4</v>
      </c>
      <c r="P4" s="10" t="n">
        <f aca="false">N4-O4</f>
        <v>1992.48</v>
      </c>
      <c r="Q4" s="11" t="n">
        <f aca="false">IF(N4=0,0,P4/N4)</f>
        <v>0.142616642616643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50</v>
      </c>
      <c r="G5" s="5" t="s">
        <v>51</v>
      </c>
      <c r="H5" s="6" t="n">
        <v>304</v>
      </c>
      <c r="I5" s="7" t="n">
        <v>66</v>
      </c>
      <c r="J5" s="8" t="n">
        <v>0.088</v>
      </c>
      <c r="K5" s="7" t="n">
        <v>32.5</v>
      </c>
      <c r="L5" s="9" t="n">
        <f aca="false">I5*(1-J5)</f>
        <v>60.192</v>
      </c>
      <c r="M5" s="10" t="n">
        <f aca="false">H5*I5</f>
        <v>20064</v>
      </c>
      <c r="N5" s="10" t="n">
        <f aca="false">H5*L5</f>
        <v>18298.368</v>
      </c>
      <c r="O5" s="10" t="n">
        <f aca="false">H5*K5</f>
        <v>9880</v>
      </c>
      <c r="P5" s="10" t="n">
        <f aca="false">N5-O5</f>
        <v>8418.368</v>
      </c>
      <c r="Q5" s="11" t="n">
        <f aca="false">IF(N5=0,0,P5/N5)</f>
        <v>0.460061137692717</v>
      </c>
    </row>
    <row r="6" customFormat="false" ht="15" hidden="false" customHeight="false" outlineLevel="0" collapsed="false">
      <c r="A6" s="5" t="s">
        <v>52</v>
      </c>
      <c r="B6" s="5" t="s">
        <v>40</v>
      </c>
      <c r="C6" s="5" t="s">
        <v>41</v>
      </c>
      <c r="D6" s="5" t="s">
        <v>53</v>
      </c>
      <c r="E6" s="5" t="s">
        <v>54</v>
      </c>
      <c r="F6" s="5" t="s">
        <v>44</v>
      </c>
      <c r="G6" s="5" t="s">
        <v>45</v>
      </c>
      <c r="H6" s="6" t="n">
        <v>492</v>
      </c>
      <c r="I6" s="7" t="n">
        <v>95</v>
      </c>
      <c r="J6" s="8" t="n">
        <v>0.293</v>
      </c>
      <c r="K6" s="7" t="n">
        <v>32.6</v>
      </c>
      <c r="L6" s="9" t="n">
        <f aca="false">I6*(1-J6)</f>
        <v>67.165</v>
      </c>
      <c r="M6" s="10" t="n">
        <f aca="false">H6*I6</f>
        <v>46740</v>
      </c>
      <c r="N6" s="10" t="n">
        <f aca="false">H6*L6</f>
        <v>33045.18</v>
      </c>
      <c r="O6" s="10" t="n">
        <f aca="false">H6*K6</f>
        <v>16039.2</v>
      </c>
      <c r="P6" s="10" t="n">
        <f aca="false">N6-O6</f>
        <v>17005.98</v>
      </c>
      <c r="Q6" s="11" t="n">
        <f aca="false">IF(N6=0,0,P6/N6)</f>
        <v>0.514628154544778</v>
      </c>
    </row>
    <row r="7" customFormat="false" ht="15" hidden="false" customHeight="false" outlineLevel="0" collapsed="false">
      <c r="A7" s="5" t="s">
        <v>52</v>
      </c>
      <c r="B7" s="5" t="s">
        <v>40</v>
      </c>
      <c r="C7" s="5" t="s">
        <v>41</v>
      </c>
      <c r="D7" s="5" t="s">
        <v>53</v>
      </c>
      <c r="E7" s="5" t="s">
        <v>54</v>
      </c>
      <c r="F7" s="5" t="s">
        <v>46</v>
      </c>
      <c r="G7" s="5" t="s">
        <v>47</v>
      </c>
      <c r="H7" s="6" t="n">
        <v>418</v>
      </c>
      <c r="I7" s="7" t="n">
        <v>40</v>
      </c>
      <c r="J7" s="8" t="n">
        <v>0.319</v>
      </c>
      <c r="K7" s="7" t="n">
        <v>5.5</v>
      </c>
      <c r="L7" s="9" t="n">
        <f aca="false">I7*(1-J7)</f>
        <v>27.24</v>
      </c>
      <c r="M7" s="10" t="n">
        <f aca="false">H7*I7</f>
        <v>16720</v>
      </c>
      <c r="N7" s="10" t="n">
        <f aca="false">H7*L7</f>
        <v>11386.32</v>
      </c>
      <c r="O7" s="10" t="n">
        <f aca="false">H7*K7</f>
        <v>2299</v>
      </c>
      <c r="P7" s="10" t="n">
        <f aca="false">N7-O7</f>
        <v>9087.32</v>
      </c>
      <c r="Q7" s="11" t="n">
        <f aca="false">IF(N7=0,0,P7/N7)</f>
        <v>0.798091042584435</v>
      </c>
    </row>
    <row r="8" customFormat="false" ht="15" hidden="false" customHeight="false" outlineLevel="0" collapsed="false">
      <c r="A8" s="5" t="s">
        <v>52</v>
      </c>
      <c r="B8" s="5" t="s">
        <v>40</v>
      </c>
      <c r="C8" s="5" t="s">
        <v>41</v>
      </c>
      <c r="D8" s="5" t="s">
        <v>53</v>
      </c>
      <c r="E8" s="5" t="s">
        <v>54</v>
      </c>
      <c r="F8" s="5" t="s">
        <v>48</v>
      </c>
      <c r="G8" s="5" t="s">
        <v>49</v>
      </c>
      <c r="H8" s="6" t="n">
        <v>92</v>
      </c>
      <c r="I8" s="7" t="n">
        <v>180</v>
      </c>
      <c r="J8" s="8" t="n">
        <v>0.064</v>
      </c>
      <c r="K8" s="7" t="n">
        <v>143.3</v>
      </c>
      <c r="L8" s="9" t="n">
        <f aca="false">I8*(1-J8)</f>
        <v>168.48</v>
      </c>
      <c r="M8" s="10" t="n">
        <f aca="false">H8*I8</f>
        <v>16560</v>
      </c>
      <c r="N8" s="10" t="n">
        <f aca="false">H8*L8</f>
        <v>15500.16</v>
      </c>
      <c r="O8" s="10" t="n">
        <f aca="false">H8*K8</f>
        <v>13183.6</v>
      </c>
      <c r="P8" s="10" t="n">
        <f aca="false">N8-O8</f>
        <v>2316.56</v>
      </c>
      <c r="Q8" s="11" t="n">
        <f aca="false">IF(N8=0,0,P8/N8)</f>
        <v>0.149453941120608</v>
      </c>
    </row>
    <row r="9" customFormat="false" ht="15" hidden="false" customHeight="false" outlineLevel="0" collapsed="false">
      <c r="A9" s="5" t="s">
        <v>52</v>
      </c>
      <c r="B9" s="5" t="s">
        <v>40</v>
      </c>
      <c r="C9" s="5" t="s">
        <v>41</v>
      </c>
      <c r="D9" s="5" t="s">
        <v>53</v>
      </c>
      <c r="E9" s="5" t="s">
        <v>54</v>
      </c>
      <c r="F9" s="5" t="s">
        <v>50</v>
      </c>
      <c r="G9" s="5" t="s">
        <v>51</v>
      </c>
      <c r="H9" s="6" t="n">
        <v>164</v>
      </c>
      <c r="I9" s="7" t="n">
        <v>66</v>
      </c>
      <c r="J9" s="8" t="n">
        <v>0.106</v>
      </c>
      <c r="K9" s="7" t="n">
        <v>32.9</v>
      </c>
      <c r="L9" s="9" t="n">
        <f aca="false">I9*(1-J9)</f>
        <v>59.004</v>
      </c>
      <c r="M9" s="10" t="n">
        <f aca="false">H9*I9</f>
        <v>10824</v>
      </c>
      <c r="N9" s="10" t="n">
        <f aca="false">H9*L9</f>
        <v>9676.656</v>
      </c>
      <c r="O9" s="10" t="n">
        <f aca="false">H9*K9</f>
        <v>5395.6</v>
      </c>
      <c r="P9" s="10" t="n">
        <f aca="false">N9-O9</f>
        <v>4281.056</v>
      </c>
      <c r="Q9" s="11" t="n">
        <f aca="false">IF(N9=0,0,P9/N9)</f>
        <v>0.442410684021422</v>
      </c>
    </row>
    <row r="10" customFormat="false" ht="15" hidden="false" customHeight="false" outlineLevel="0" collapsed="false">
      <c r="A10" s="5" t="s">
        <v>55</v>
      </c>
      <c r="B10" s="5" t="s">
        <v>40</v>
      </c>
      <c r="C10" s="5" t="s">
        <v>41</v>
      </c>
      <c r="D10" s="5" t="s">
        <v>53</v>
      </c>
      <c r="E10" s="5" t="s">
        <v>54</v>
      </c>
      <c r="F10" s="5" t="s">
        <v>44</v>
      </c>
      <c r="G10" s="5" t="s">
        <v>45</v>
      </c>
      <c r="H10" s="6" t="n">
        <v>705</v>
      </c>
      <c r="I10" s="7" t="n">
        <v>95</v>
      </c>
      <c r="J10" s="8" t="n">
        <v>0.278</v>
      </c>
      <c r="K10" s="7" t="n">
        <v>33.6</v>
      </c>
      <c r="L10" s="9" t="n">
        <f aca="false">I10*(1-J10)</f>
        <v>68.59</v>
      </c>
      <c r="M10" s="10" t="n">
        <f aca="false">H10*I10</f>
        <v>66975</v>
      </c>
      <c r="N10" s="10" t="n">
        <f aca="false">H10*L10</f>
        <v>48355.95</v>
      </c>
      <c r="O10" s="10" t="n">
        <f aca="false">H10*K10</f>
        <v>23688</v>
      </c>
      <c r="P10" s="10" t="n">
        <f aca="false">N10-O10</f>
        <v>24667.95</v>
      </c>
      <c r="Q10" s="11" t="n">
        <f aca="false">IF(N10=0,0,P10/N10)</f>
        <v>0.510132672401225</v>
      </c>
    </row>
    <row r="11" customFormat="false" ht="15" hidden="false" customHeight="false" outlineLevel="0" collapsed="false">
      <c r="A11" s="5" t="s">
        <v>55</v>
      </c>
      <c r="B11" s="5" t="s">
        <v>40</v>
      </c>
      <c r="C11" s="5" t="s">
        <v>41</v>
      </c>
      <c r="D11" s="5" t="s">
        <v>53</v>
      </c>
      <c r="E11" s="5" t="s">
        <v>54</v>
      </c>
      <c r="F11" s="5" t="s">
        <v>46</v>
      </c>
      <c r="G11" s="5" t="s">
        <v>47</v>
      </c>
      <c r="H11" s="6" t="n">
        <v>593</v>
      </c>
      <c r="I11" s="7" t="n">
        <v>40</v>
      </c>
      <c r="J11" s="8" t="n">
        <v>0.286</v>
      </c>
      <c r="K11" s="7" t="n">
        <v>5.7</v>
      </c>
      <c r="L11" s="9" t="n">
        <f aca="false">I11*(1-J11)</f>
        <v>28.56</v>
      </c>
      <c r="M11" s="10" t="n">
        <f aca="false">H11*I11</f>
        <v>23720</v>
      </c>
      <c r="N11" s="10" t="n">
        <f aca="false">H11*L11</f>
        <v>16936.08</v>
      </c>
      <c r="O11" s="10" t="n">
        <f aca="false">H11*K11</f>
        <v>3380.1</v>
      </c>
      <c r="P11" s="10" t="n">
        <f aca="false">N11-O11</f>
        <v>13555.98</v>
      </c>
      <c r="Q11" s="11" t="n">
        <f aca="false">IF(N11=0,0,P11/N11)</f>
        <v>0.800420168067227</v>
      </c>
    </row>
    <row r="12" customFormat="false" ht="15" hidden="false" customHeight="false" outlineLevel="0" collapsed="false">
      <c r="A12" s="5" t="s">
        <v>55</v>
      </c>
      <c r="B12" s="5" t="s">
        <v>40</v>
      </c>
      <c r="C12" s="5" t="s">
        <v>41</v>
      </c>
      <c r="D12" s="5" t="s">
        <v>53</v>
      </c>
      <c r="E12" s="5" t="s">
        <v>54</v>
      </c>
      <c r="F12" s="5" t="s">
        <v>48</v>
      </c>
      <c r="G12" s="5" t="s">
        <v>49</v>
      </c>
      <c r="H12" s="6" t="n">
        <v>134</v>
      </c>
      <c r="I12" s="7" t="n">
        <v>180</v>
      </c>
      <c r="J12" s="8" t="n">
        <v>0.056</v>
      </c>
      <c r="K12" s="7" t="n">
        <v>140.5</v>
      </c>
      <c r="L12" s="9" t="n">
        <f aca="false">I12*(1-J12)</f>
        <v>169.92</v>
      </c>
      <c r="M12" s="10" t="n">
        <f aca="false">H12*I12</f>
        <v>24120</v>
      </c>
      <c r="N12" s="10" t="n">
        <f aca="false">H12*L12</f>
        <v>22769.28</v>
      </c>
      <c r="O12" s="10" t="n">
        <f aca="false">H12*K12</f>
        <v>18827</v>
      </c>
      <c r="P12" s="10" t="n">
        <f aca="false">N12-O12</f>
        <v>3942.28</v>
      </c>
      <c r="Q12" s="11" t="n">
        <f aca="false">IF(N12=0,0,P12/N12)</f>
        <v>0.173140301318267</v>
      </c>
    </row>
    <row r="13" customFormat="false" ht="15" hidden="false" customHeight="false" outlineLevel="0" collapsed="false">
      <c r="A13" s="5" t="s">
        <v>55</v>
      </c>
      <c r="B13" s="5" t="s">
        <v>40</v>
      </c>
      <c r="C13" s="5" t="s">
        <v>41</v>
      </c>
      <c r="D13" s="5" t="s">
        <v>53</v>
      </c>
      <c r="E13" s="5" t="s">
        <v>54</v>
      </c>
      <c r="F13" s="5" t="s">
        <v>50</v>
      </c>
      <c r="G13" s="5" t="s">
        <v>51</v>
      </c>
      <c r="H13" s="6" t="n">
        <v>235</v>
      </c>
      <c r="I13" s="7" t="n">
        <v>66</v>
      </c>
      <c r="J13" s="8" t="n">
        <v>0.128</v>
      </c>
      <c r="K13" s="7" t="n">
        <v>32.5</v>
      </c>
      <c r="L13" s="9" t="n">
        <f aca="false">I13*(1-J13)</f>
        <v>57.552</v>
      </c>
      <c r="M13" s="10" t="n">
        <f aca="false">H13*I13</f>
        <v>15510</v>
      </c>
      <c r="N13" s="10" t="n">
        <f aca="false">H13*L13</f>
        <v>13524.72</v>
      </c>
      <c r="O13" s="10" t="n">
        <f aca="false">H13*K13</f>
        <v>7637.5</v>
      </c>
      <c r="P13" s="10" t="n">
        <f aca="false">N13-O13</f>
        <v>5887.22</v>
      </c>
      <c r="Q13" s="11" t="n">
        <f aca="false">IF(N13=0,0,P13/N13)</f>
        <v>0.435293299972199</v>
      </c>
    </row>
    <row r="14" customFormat="false" ht="15" hidden="false" customHeight="false" outlineLevel="0" collapsed="false">
      <c r="A14" s="5" t="s">
        <v>56</v>
      </c>
      <c r="B14" s="5" t="s">
        <v>40</v>
      </c>
      <c r="C14" s="5" t="s">
        <v>41</v>
      </c>
      <c r="D14" s="5" t="s">
        <v>53</v>
      </c>
      <c r="E14" s="5" t="s">
        <v>54</v>
      </c>
      <c r="F14" s="5" t="s">
        <v>44</v>
      </c>
      <c r="G14" s="5" t="s">
        <v>45</v>
      </c>
      <c r="H14" s="6" t="n">
        <v>624</v>
      </c>
      <c r="I14" s="7" t="n">
        <v>95</v>
      </c>
      <c r="J14" s="8" t="n">
        <v>0.288</v>
      </c>
      <c r="K14" s="7" t="n">
        <v>33.8</v>
      </c>
      <c r="L14" s="9" t="n">
        <f aca="false">I14*(1-J14)</f>
        <v>67.64</v>
      </c>
      <c r="M14" s="10" t="n">
        <f aca="false">H14*I14</f>
        <v>59280</v>
      </c>
      <c r="N14" s="10" t="n">
        <f aca="false">H14*L14</f>
        <v>42207.36</v>
      </c>
      <c r="O14" s="10" t="n">
        <f aca="false">H14*K14</f>
        <v>21091.2</v>
      </c>
      <c r="P14" s="10" t="n">
        <f aca="false">N14-O14</f>
        <v>21116.16</v>
      </c>
      <c r="Q14" s="11" t="n">
        <f aca="false">IF(N14=0,0,P14/N14)</f>
        <v>0.500295683027794</v>
      </c>
    </row>
    <row r="15" customFormat="false" ht="15" hidden="false" customHeight="false" outlineLevel="0" collapsed="false">
      <c r="A15" s="5" t="s">
        <v>56</v>
      </c>
      <c r="B15" s="5" t="s">
        <v>40</v>
      </c>
      <c r="C15" s="5" t="s">
        <v>41</v>
      </c>
      <c r="D15" s="5" t="s">
        <v>53</v>
      </c>
      <c r="E15" s="5" t="s">
        <v>54</v>
      </c>
      <c r="F15" s="5" t="s">
        <v>46</v>
      </c>
      <c r="G15" s="5" t="s">
        <v>47</v>
      </c>
      <c r="H15" s="6" t="n">
        <v>501</v>
      </c>
      <c r="I15" s="7" t="n">
        <v>40</v>
      </c>
      <c r="J15" s="8" t="n">
        <v>0.285</v>
      </c>
      <c r="K15" s="7" t="n">
        <v>5.6</v>
      </c>
      <c r="L15" s="9" t="n">
        <f aca="false">I15*(1-J15)</f>
        <v>28.6</v>
      </c>
      <c r="M15" s="10" t="n">
        <f aca="false">H15*I15</f>
        <v>20040</v>
      </c>
      <c r="N15" s="10" t="n">
        <f aca="false">H15*L15</f>
        <v>14328.6</v>
      </c>
      <c r="O15" s="10" t="n">
        <f aca="false">H15*K15</f>
        <v>2805.6</v>
      </c>
      <c r="P15" s="10" t="n">
        <f aca="false">N15-O15</f>
        <v>11523</v>
      </c>
      <c r="Q15" s="11" t="n">
        <f aca="false">IF(N15=0,0,P15/N15)</f>
        <v>0.804195804195804</v>
      </c>
    </row>
    <row r="16" customFormat="false" ht="15" hidden="false" customHeight="false" outlineLevel="0" collapsed="false">
      <c r="A16" s="5" t="s">
        <v>56</v>
      </c>
      <c r="B16" s="5" t="s">
        <v>40</v>
      </c>
      <c r="C16" s="5" t="s">
        <v>41</v>
      </c>
      <c r="D16" s="5" t="s">
        <v>53</v>
      </c>
      <c r="E16" s="5" t="s">
        <v>54</v>
      </c>
      <c r="F16" s="5" t="s">
        <v>48</v>
      </c>
      <c r="G16" s="5" t="s">
        <v>49</v>
      </c>
      <c r="H16" s="6" t="n">
        <v>84</v>
      </c>
      <c r="I16" s="7" t="n">
        <v>180</v>
      </c>
      <c r="J16" s="8" t="n">
        <v>0.087</v>
      </c>
      <c r="K16" s="7" t="n">
        <v>136.8</v>
      </c>
      <c r="L16" s="9" t="n">
        <f aca="false">I16*(1-J16)</f>
        <v>164.34</v>
      </c>
      <c r="M16" s="10" t="n">
        <f aca="false">H16*I16</f>
        <v>15120</v>
      </c>
      <c r="N16" s="10" t="n">
        <f aca="false">H16*L16</f>
        <v>13804.56</v>
      </c>
      <c r="O16" s="10" t="n">
        <f aca="false">H16*K16</f>
        <v>11491.2</v>
      </c>
      <c r="P16" s="10" t="n">
        <f aca="false">N16-O16</f>
        <v>2313.36</v>
      </c>
      <c r="Q16" s="11" t="n">
        <f aca="false">IF(N16=0,0,P16/N16)</f>
        <v>0.167579408543264</v>
      </c>
    </row>
    <row r="17" customFormat="false" ht="15" hidden="false" customHeight="false" outlineLevel="0" collapsed="false">
      <c r="A17" s="5" t="s">
        <v>56</v>
      </c>
      <c r="B17" s="5" t="s">
        <v>40</v>
      </c>
      <c r="C17" s="5" t="s">
        <v>41</v>
      </c>
      <c r="D17" s="5" t="s">
        <v>53</v>
      </c>
      <c r="E17" s="5" t="s">
        <v>54</v>
      </c>
      <c r="F17" s="5" t="s">
        <v>50</v>
      </c>
      <c r="G17" s="5" t="s">
        <v>51</v>
      </c>
      <c r="H17" s="6" t="n">
        <v>208</v>
      </c>
      <c r="I17" s="7" t="n">
        <v>66</v>
      </c>
      <c r="J17" s="8" t="n">
        <v>0.078</v>
      </c>
      <c r="K17" s="7" t="n">
        <v>32.5</v>
      </c>
      <c r="L17" s="9" t="n">
        <f aca="false">I17*(1-J17)</f>
        <v>60.852</v>
      </c>
      <c r="M17" s="10" t="n">
        <f aca="false">H17*I17</f>
        <v>13728</v>
      </c>
      <c r="N17" s="10" t="n">
        <f aca="false">H17*L17</f>
        <v>12657.216</v>
      </c>
      <c r="O17" s="10" t="n">
        <f aca="false">H17*K17</f>
        <v>6760</v>
      </c>
      <c r="P17" s="10" t="n">
        <f aca="false">N17-O17</f>
        <v>5897.216</v>
      </c>
      <c r="Q17" s="11" t="n">
        <f aca="false">IF(N17=0,0,P17/N17)</f>
        <v>0.465917307565898</v>
      </c>
    </row>
    <row r="18" customFormat="false" ht="15" hidden="false" customHeight="false" outlineLevel="0" collapsed="false">
      <c r="A18" s="5" t="s">
        <v>57</v>
      </c>
      <c r="B18" s="5" t="s">
        <v>40</v>
      </c>
      <c r="C18" s="5" t="s">
        <v>58</v>
      </c>
      <c r="D18" s="5" t="s">
        <v>59</v>
      </c>
      <c r="E18" s="5" t="s">
        <v>60</v>
      </c>
      <c r="F18" s="5" t="s">
        <v>44</v>
      </c>
      <c r="G18" s="5" t="s">
        <v>45</v>
      </c>
      <c r="H18" s="6" t="n">
        <v>879</v>
      </c>
      <c r="I18" s="7" t="n">
        <v>95</v>
      </c>
      <c r="J18" s="8" t="n">
        <v>0.277</v>
      </c>
      <c r="K18" s="7" t="n">
        <v>33.6</v>
      </c>
      <c r="L18" s="9" t="n">
        <f aca="false">I18*(1-J18)</f>
        <v>68.685</v>
      </c>
      <c r="M18" s="10" t="n">
        <f aca="false">H18*I18</f>
        <v>83505</v>
      </c>
      <c r="N18" s="10" t="n">
        <f aca="false">H18*L18</f>
        <v>60374.115</v>
      </c>
      <c r="O18" s="10" t="n">
        <f aca="false">H18*K18</f>
        <v>29534.4</v>
      </c>
      <c r="P18" s="10" t="n">
        <f aca="false">N18-O18</f>
        <v>30839.715</v>
      </c>
      <c r="Q18" s="11" t="n">
        <f aca="false">IF(N18=0,0,P18/N18)</f>
        <v>0.510810220572177</v>
      </c>
    </row>
    <row r="19" customFormat="false" ht="15" hidden="false" customHeight="false" outlineLevel="0" collapsed="false">
      <c r="A19" s="5" t="s">
        <v>57</v>
      </c>
      <c r="B19" s="5" t="s">
        <v>40</v>
      </c>
      <c r="C19" s="5" t="s">
        <v>58</v>
      </c>
      <c r="D19" s="5" t="s">
        <v>59</v>
      </c>
      <c r="E19" s="5" t="s">
        <v>60</v>
      </c>
      <c r="F19" s="5" t="s">
        <v>46</v>
      </c>
      <c r="G19" s="5" t="s">
        <v>47</v>
      </c>
      <c r="H19" s="6" t="n">
        <v>749</v>
      </c>
      <c r="I19" s="7" t="n">
        <v>40</v>
      </c>
      <c r="J19" s="8" t="n">
        <v>0.272</v>
      </c>
      <c r="K19" s="7" t="n">
        <v>5.5</v>
      </c>
      <c r="L19" s="9" t="n">
        <f aca="false">I19*(1-J19)</f>
        <v>29.12</v>
      </c>
      <c r="M19" s="10" t="n">
        <f aca="false">H19*I19</f>
        <v>29960</v>
      </c>
      <c r="N19" s="10" t="n">
        <f aca="false">H19*L19</f>
        <v>21810.88</v>
      </c>
      <c r="O19" s="10" t="n">
        <f aca="false">H19*K19</f>
        <v>4119.5</v>
      </c>
      <c r="P19" s="10" t="n">
        <f aca="false">N19-O19</f>
        <v>17691.38</v>
      </c>
      <c r="Q19" s="11" t="n">
        <f aca="false">IF(N19=0,0,P19/N19)</f>
        <v>0.811126373626374</v>
      </c>
    </row>
    <row r="20" customFormat="false" ht="15" hidden="false" customHeight="false" outlineLevel="0" collapsed="false">
      <c r="A20" s="5" t="s">
        <v>57</v>
      </c>
      <c r="B20" s="5" t="s">
        <v>40</v>
      </c>
      <c r="C20" s="5" t="s">
        <v>58</v>
      </c>
      <c r="D20" s="5" t="s">
        <v>59</v>
      </c>
      <c r="E20" s="5" t="s">
        <v>60</v>
      </c>
      <c r="F20" s="5" t="s">
        <v>50</v>
      </c>
      <c r="G20" s="5" t="s">
        <v>51</v>
      </c>
      <c r="H20" s="6" t="n">
        <v>293</v>
      </c>
      <c r="I20" s="7" t="n">
        <v>66</v>
      </c>
      <c r="J20" s="8" t="n">
        <v>0.107</v>
      </c>
      <c r="K20" s="7" t="n">
        <v>33.6</v>
      </c>
      <c r="L20" s="9" t="n">
        <f aca="false">I20*(1-J20)</f>
        <v>58.938</v>
      </c>
      <c r="M20" s="10" t="n">
        <f aca="false">H20*I20</f>
        <v>19338</v>
      </c>
      <c r="N20" s="10" t="n">
        <f aca="false">H20*L20</f>
        <v>17268.834</v>
      </c>
      <c r="O20" s="10" t="n">
        <f aca="false">H20*K20</f>
        <v>9844.8</v>
      </c>
      <c r="P20" s="10" t="n">
        <f aca="false">N20-O20</f>
        <v>7424.034</v>
      </c>
      <c r="Q20" s="11" t="n">
        <f aca="false">IF(N20=0,0,P20/N20)</f>
        <v>0.429909396314771</v>
      </c>
    </row>
    <row r="21" customFormat="false" ht="15" hidden="false" customHeight="false" outlineLevel="0" collapsed="false">
      <c r="A21" s="5" t="s">
        <v>61</v>
      </c>
      <c r="B21" s="5" t="s">
        <v>40</v>
      </c>
      <c r="C21" s="5" t="s">
        <v>58</v>
      </c>
      <c r="D21" s="5" t="s">
        <v>59</v>
      </c>
      <c r="E21" s="5" t="s">
        <v>60</v>
      </c>
      <c r="F21" s="5" t="s">
        <v>44</v>
      </c>
      <c r="G21" s="5" t="s">
        <v>45</v>
      </c>
      <c r="H21" s="6" t="n">
        <v>534</v>
      </c>
      <c r="I21" s="7" t="n">
        <v>95</v>
      </c>
      <c r="J21" s="8" t="n">
        <v>0.305</v>
      </c>
      <c r="K21" s="7" t="n">
        <v>32.7</v>
      </c>
      <c r="L21" s="9" t="n">
        <f aca="false">I21*(1-J21)</f>
        <v>66.025</v>
      </c>
      <c r="M21" s="10" t="n">
        <f aca="false">H21*I21</f>
        <v>50730</v>
      </c>
      <c r="N21" s="10" t="n">
        <f aca="false">H21*L21</f>
        <v>35257.35</v>
      </c>
      <c r="O21" s="10" t="n">
        <f aca="false">H21*K21</f>
        <v>17461.8</v>
      </c>
      <c r="P21" s="10" t="n">
        <f aca="false">N21-O21</f>
        <v>17795.55</v>
      </c>
      <c r="Q21" s="11" t="n">
        <f aca="false">IF(N21=0,0,P21/N21)</f>
        <v>0.504733055660735</v>
      </c>
    </row>
    <row r="22" customFormat="false" ht="15" hidden="false" customHeight="false" outlineLevel="0" collapsed="false">
      <c r="A22" s="5" t="s">
        <v>61</v>
      </c>
      <c r="B22" s="5" t="s">
        <v>40</v>
      </c>
      <c r="C22" s="5" t="s">
        <v>58</v>
      </c>
      <c r="D22" s="5" t="s">
        <v>59</v>
      </c>
      <c r="E22" s="5" t="s">
        <v>60</v>
      </c>
      <c r="F22" s="5" t="s">
        <v>46</v>
      </c>
      <c r="G22" s="5" t="s">
        <v>47</v>
      </c>
      <c r="H22" s="6" t="n">
        <v>408</v>
      </c>
      <c r="I22" s="7" t="n">
        <v>40</v>
      </c>
      <c r="J22" s="8" t="n">
        <v>0.308</v>
      </c>
      <c r="K22" s="7" t="n">
        <v>5.6</v>
      </c>
      <c r="L22" s="9" t="n">
        <f aca="false">I22*(1-J22)</f>
        <v>27.68</v>
      </c>
      <c r="M22" s="10" t="n">
        <f aca="false">H22*I22</f>
        <v>16320</v>
      </c>
      <c r="N22" s="10" t="n">
        <f aca="false">H22*L22</f>
        <v>11293.44</v>
      </c>
      <c r="O22" s="10" t="n">
        <f aca="false">H22*K22</f>
        <v>2284.8</v>
      </c>
      <c r="P22" s="10" t="n">
        <f aca="false">N22-O22</f>
        <v>9008.64</v>
      </c>
      <c r="Q22" s="11" t="n">
        <f aca="false">IF(N22=0,0,P22/N22)</f>
        <v>0.797687861271676</v>
      </c>
    </row>
    <row r="23" customFormat="false" ht="15" hidden="false" customHeight="false" outlineLevel="0" collapsed="false">
      <c r="A23" s="5" t="s">
        <v>61</v>
      </c>
      <c r="B23" s="5" t="s">
        <v>40</v>
      </c>
      <c r="C23" s="5" t="s">
        <v>58</v>
      </c>
      <c r="D23" s="5" t="s">
        <v>59</v>
      </c>
      <c r="E23" s="5" t="s">
        <v>60</v>
      </c>
      <c r="F23" s="5" t="s">
        <v>50</v>
      </c>
      <c r="G23" s="5" t="s">
        <v>51</v>
      </c>
      <c r="H23" s="6" t="n">
        <v>178</v>
      </c>
      <c r="I23" s="7" t="n">
        <v>66</v>
      </c>
      <c r="J23" s="8" t="n">
        <v>0.099</v>
      </c>
      <c r="K23" s="7" t="n">
        <v>32</v>
      </c>
      <c r="L23" s="9" t="n">
        <f aca="false">I23*(1-J23)</f>
        <v>59.466</v>
      </c>
      <c r="M23" s="10" t="n">
        <f aca="false">H23*I23</f>
        <v>11748</v>
      </c>
      <c r="N23" s="10" t="n">
        <f aca="false">H23*L23</f>
        <v>10584.948</v>
      </c>
      <c r="O23" s="10" t="n">
        <f aca="false">H23*K23</f>
        <v>5696</v>
      </c>
      <c r="P23" s="10" t="n">
        <f aca="false">N23-O23</f>
        <v>4888.948</v>
      </c>
      <c r="Q23" s="11" t="n">
        <f aca="false">IF(N23=0,0,P23/N23)</f>
        <v>0.461877375306898</v>
      </c>
    </row>
    <row r="24" customFormat="false" ht="15" hidden="false" customHeight="false" outlineLevel="0" collapsed="false">
      <c r="A24" s="5" t="s">
        <v>62</v>
      </c>
      <c r="B24" s="5" t="s">
        <v>40</v>
      </c>
      <c r="C24" s="5" t="s">
        <v>58</v>
      </c>
      <c r="D24" s="5" t="s">
        <v>63</v>
      </c>
      <c r="E24" s="5" t="s">
        <v>54</v>
      </c>
      <c r="F24" s="5" t="s">
        <v>44</v>
      </c>
      <c r="G24" s="5" t="s">
        <v>45</v>
      </c>
      <c r="H24" s="6" t="n">
        <v>1230</v>
      </c>
      <c r="I24" s="7" t="n">
        <v>95</v>
      </c>
      <c r="J24" s="8" t="n">
        <v>0.296</v>
      </c>
      <c r="K24" s="7" t="n">
        <v>32.8</v>
      </c>
      <c r="L24" s="9" t="n">
        <f aca="false">I24*(1-J24)</f>
        <v>66.88</v>
      </c>
      <c r="M24" s="10" t="n">
        <f aca="false">H24*I24</f>
        <v>116850</v>
      </c>
      <c r="N24" s="10" t="n">
        <f aca="false">H24*L24</f>
        <v>82262.4</v>
      </c>
      <c r="O24" s="10" t="n">
        <f aca="false">H24*K24</f>
        <v>40344</v>
      </c>
      <c r="P24" s="10" t="n">
        <f aca="false">N24-O24</f>
        <v>41918.4</v>
      </c>
      <c r="Q24" s="11" t="n">
        <f aca="false">IF(N24=0,0,P24/N24)</f>
        <v>0.509569377990431</v>
      </c>
    </row>
    <row r="25" customFormat="false" ht="15" hidden="false" customHeight="false" outlineLevel="0" collapsed="false">
      <c r="A25" s="5" t="s">
        <v>62</v>
      </c>
      <c r="B25" s="5" t="s">
        <v>40</v>
      </c>
      <c r="C25" s="5" t="s">
        <v>58</v>
      </c>
      <c r="D25" s="5" t="s">
        <v>63</v>
      </c>
      <c r="E25" s="5" t="s">
        <v>54</v>
      </c>
      <c r="F25" s="5" t="s">
        <v>46</v>
      </c>
      <c r="G25" s="5" t="s">
        <v>47</v>
      </c>
      <c r="H25" s="6" t="n">
        <v>1144</v>
      </c>
      <c r="I25" s="7" t="n">
        <v>40</v>
      </c>
      <c r="J25" s="8" t="n">
        <v>0.283</v>
      </c>
      <c r="K25" s="7" t="n">
        <v>5.7</v>
      </c>
      <c r="L25" s="9" t="n">
        <f aca="false">I25*(1-J25)</f>
        <v>28.68</v>
      </c>
      <c r="M25" s="10" t="n">
        <f aca="false">H25*I25</f>
        <v>45760</v>
      </c>
      <c r="N25" s="10" t="n">
        <f aca="false">H25*L25</f>
        <v>32809.92</v>
      </c>
      <c r="O25" s="10" t="n">
        <f aca="false">H25*K25</f>
        <v>6520.8</v>
      </c>
      <c r="P25" s="10" t="n">
        <f aca="false">N25-O25</f>
        <v>26289.12</v>
      </c>
      <c r="Q25" s="11" t="n">
        <f aca="false">IF(N25=0,0,P25/N25)</f>
        <v>0.801255230125523</v>
      </c>
    </row>
    <row r="26" customFormat="false" ht="15" hidden="false" customHeight="false" outlineLevel="0" collapsed="false">
      <c r="A26" s="5" t="s">
        <v>62</v>
      </c>
      <c r="B26" s="5" t="s">
        <v>40</v>
      </c>
      <c r="C26" s="5" t="s">
        <v>58</v>
      </c>
      <c r="D26" s="5" t="s">
        <v>63</v>
      </c>
      <c r="E26" s="5" t="s">
        <v>54</v>
      </c>
      <c r="F26" s="5" t="s">
        <v>48</v>
      </c>
      <c r="G26" s="5" t="s">
        <v>49</v>
      </c>
      <c r="H26" s="6" t="n">
        <v>172</v>
      </c>
      <c r="I26" s="7" t="n">
        <v>180</v>
      </c>
      <c r="J26" s="8" t="n">
        <v>0.095</v>
      </c>
      <c r="K26" s="7" t="n">
        <v>140.9</v>
      </c>
      <c r="L26" s="9" t="n">
        <f aca="false">I26*(1-J26)</f>
        <v>162.9</v>
      </c>
      <c r="M26" s="10" t="n">
        <f aca="false">H26*I26</f>
        <v>30960</v>
      </c>
      <c r="N26" s="10" t="n">
        <f aca="false">H26*L26</f>
        <v>28018.8</v>
      </c>
      <c r="O26" s="10" t="n">
        <f aca="false">H26*K26</f>
        <v>24234.8</v>
      </c>
      <c r="P26" s="10" t="n">
        <f aca="false">N26-O26</f>
        <v>3784</v>
      </c>
      <c r="Q26" s="11" t="n">
        <f aca="false">IF(N26=0,0,P26/N26)</f>
        <v>0.135052179251074</v>
      </c>
    </row>
    <row r="27" customFormat="false" ht="15" hidden="false" customHeight="false" outlineLevel="0" collapsed="false">
      <c r="A27" s="5" t="s">
        <v>62</v>
      </c>
      <c r="B27" s="5" t="s">
        <v>40</v>
      </c>
      <c r="C27" s="5" t="s">
        <v>58</v>
      </c>
      <c r="D27" s="5" t="s">
        <v>63</v>
      </c>
      <c r="E27" s="5" t="s">
        <v>54</v>
      </c>
      <c r="F27" s="5" t="s">
        <v>50</v>
      </c>
      <c r="G27" s="5" t="s">
        <v>51</v>
      </c>
      <c r="H27" s="6" t="n">
        <v>410</v>
      </c>
      <c r="I27" s="7" t="n">
        <v>66</v>
      </c>
      <c r="J27" s="8" t="n">
        <v>0.097</v>
      </c>
      <c r="K27" s="7" t="n">
        <v>33.2</v>
      </c>
      <c r="L27" s="9" t="n">
        <f aca="false">I27*(1-J27)</f>
        <v>59.598</v>
      </c>
      <c r="M27" s="10" t="n">
        <f aca="false">H27*I27</f>
        <v>27060</v>
      </c>
      <c r="N27" s="10" t="n">
        <f aca="false">H27*L27</f>
        <v>24435.18</v>
      </c>
      <c r="O27" s="10" t="n">
        <f aca="false">H27*K27</f>
        <v>13612</v>
      </c>
      <c r="P27" s="10" t="n">
        <f aca="false">N27-O27</f>
        <v>10823.18</v>
      </c>
      <c r="Q27" s="11" t="n">
        <f aca="false">IF(N27=0,0,P27/N27)</f>
        <v>0.442934326655257</v>
      </c>
    </row>
    <row r="28" customFormat="false" ht="15" hidden="false" customHeight="false" outlineLevel="0" collapsed="false">
      <c r="A28" s="5" t="s">
        <v>64</v>
      </c>
      <c r="B28" s="5" t="s">
        <v>40</v>
      </c>
      <c r="C28" s="5" t="s">
        <v>58</v>
      </c>
      <c r="D28" s="5" t="s">
        <v>59</v>
      </c>
      <c r="E28" s="5" t="s">
        <v>43</v>
      </c>
      <c r="F28" s="5" t="s">
        <v>44</v>
      </c>
      <c r="G28" s="5" t="s">
        <v>45</v>
      </c>
      <c r="H28" s="6" t="n">
        <v>681</v>
      </c>
      <c r="I28" s="7" t="n">
        <v>95</v>
      </c>
      <c r="J28" s="8" t="n">
        <v>0.292</v>
      </c>
      <c r="K28" s="7" t="n">
        <v>33</v>
      </c>
      <c r="L28" s="9" t="n">
        <f aca="false">I28*(1-J28)</f>
        <v>67.26</v>
      </c>
      <c r="M28" s="10" t="n">
        <f aca="false">H28*I28</f>
        <v>64695</v>
      </c>
      <c r="N28" s="10" t="n">
        <f aca="false">H28*L28</f>
        <v>45804.06</v>
      </c>
      <c r="O28" s="10" t="n">
        <f aca="false">H28*K28</f>
        <v>22473</v>
      </c>
      <c r="P28" s="10" t="n">
        <f aca="false">N28-O28</f>
        <v>23331.06</v>
      </c>
      <c r="Q28" s="11" t="n">
        <f aca="false">IF(N28=0,0,P28/N28)</f>
        <v>0.509366636931311</v>
      </c>
    </row>
    <row r="29" customFormat="false" ht="15" hidden="false" customHeight="false" outlineLevel="0" collapsed="false">
      <c r="A29" s="5" t="s">
        <v>64</v>
      </c>
      <c r="B29" s="5" t="s">
        <v>40</v>
      </c>
      <c r="C29" s="5" t="s">
        <v>58</v>
      </c>
      <c r="D29" s="5" t="s">
        <v>59</v>
      </c>
      <c r="E29" s="5" t="s">
        <v>43</v>
      </c>
      <c r="F29" s="5" t="s">
        <v>46</v>
      </c>
      <c r="G29" s="5" t="s">
        <v>47</v>
      </c>
      <c r="H29" s="6" t="n">
        <v>526</v>
      </c>
      <c r="I29" s="7" t="n">
        <v>40</v>
      </c>
      <c r="J29" s="8" t="n">
        <v>0.311</v>
      </c>
      <c r="K29" s="7" t="n">
        <v>5.5</v>
      </c>
      <c r="L29" s="9" t="n">
        <f aca="false">I29*(1-J29)</f>
        <v>27.56</v>
      </c>
      <c r="M29" s="10" t="n">
        <f aca="false">H29*I29</f>
        <v>21040</v>
      </c>
      <c r="N29" s="10" t="n">
        <f aca="false">H29*L29</f>
        <v>14496.56</v>
      </c>
      <c r="O29" s="10" t="n">
        <f aca="false">H29*K29</f>
        <v>2893</v>
      </c>
      <c r="P29" s="10" t="n">
        <f aca="false">N29-O29</f>
        <v>11603.56</v>
      </c>
      <c r="Q29" s="11" t="n">
        <f aca="false">IF(N29=0,0,P29/N29)</f>
        <v>0.800435413642961</v>
      </c>
    </row>
    <row r="30" customFormat="false" ht="15" hidden="false" customHeight="false" outlineLevel="0" collapsed="false">
      <c r="A30" s="5" t="s">
        <v>64</v>
      </c>
      <c r="B30" s="5" t="s">
        <v>40</v>
      </c>
      <c r="C30" s="5" t="s">
        <v>58</v>
      </c>
      <c r="D30" s="5" t="s">
        <v>59</v>
      </c>
      <c r="E30" s="5" t="s">
        <v>43</v>
      </c>
      <c r="F30" s="5" t="s">
        <v>48</v>
      </c>
      <c r="G30" s="5" t="s">
        <v>49</v>
      </c>
      <c r="H30" s="6" t="n">
        <v>58</v>
      </c>
      <c r="I30" s="7" t="n">
        <v>180</v>
      </c>
      <c r="J30" s="8" t="n">
        <v>0.066</v>
      </c>
      <c r="K30" s="7" t="n">
        <v>135.9</v>
      </c>
      <c r="L30" s="9" t="n">
        <f aca="false">I30*(1-J30)</f>
        <v>168.12</v>
      </c>
      <c r="M30" s="10" t="n">
        <f aca="false">H30*I30</f>
        <v>10440</v>
      </c>
      <c r="N30" s="10" t="n">
        <f aca="false">H30*L30</f>
        <v>9750.96</v>
      </c>
      <c r="O30" s="10" t="n">
        <f aca="false">H30*K30</f>
        <v>7882.2</v>
      </c>
      <c r="P30" s="10" t="n">
        <f aca="false">N30-O30</f>
        <v>1868.76</v>
      </c>
      <c r="Q30" s="11" t="n">
        <f aca="false">IF(N30=0,0,P30/N30)</f>
        <v>0.191648822269807</v>
      </c>
    </row>
    <row r="31" customFormat="false" ht="15" hidden="false" customHeight="false" outlineLevel="0" collapsed="false">
      <c r="A31" s="5" t="s">
        <v>64</v>
      </c>
      <c r="B31" s="5" t="s">
        <v>40</v>
      </c>
      <c r="C31" s="5" t="s">
        <v>58</v>
      </c>
      <c r="D31" s="5" t="s">
        <v>59</v>
      </c>
      <c r="E31" s="5" t="s">
        <v>43</v>
      </c>
      <c r="F31" s="5" t="s">
        <v>50</v>
      </c>
      <c r="G31" s="5" t="s">
        <v>51</v>
      </c>
      <c r="H31" s="6" t="n">
        <v>227</v>
      </c>
      <c r="I31" s="7" t="n">
        <v>66</v>
      </c>
      <c r="J31" s="8" t="n">
        <v>0.115</v>
      </c>
      <c r="K31" s="7" t="n">
        <v>32.3</v>
      </c>
      <c r="L31" s="9" t="n">
        <f aca="false">I31*(1-J31)</f>
        <v>58.41</v>
      </c>
      <c r="M31" s="10" t="n">
        <f aca="false">H31*I31</f>
        <v>14982</v>
      </c>
      <c r="N31" s="10" t="n">
        <f aca="false">H31*L31</f>
        <v>13259.07</v>
      </c>
      <c r="O31" s="10" t="n">
        <f aca="false">H31*K31</f>
        <v>7332.1</v>
      </c>
      <c r="P31" s="10" t="n">
        <f aca="false">N31-O31</f>
        <v>5926.97</v>
      </c>
      <c r="Q31" s="11" t="n">
        <f aca="false">IF(N31=0,0,P31/N31)</f>
        <v>0.447012497859956</v>
      </c>
    </row>
    <row r="32" customFormat="false" ht="15" hidden="false" customHeight="false" outlineLevel="0" collapsed="false">
      <c r="A32" s="5" t="s">
        <v>65</v>
      </c>
      <c r="B32" s="5" t="s">
        <v>40</v>
      </c>
      <c r="C32" s="5" t="s">
        <v>66</v>
      </c>
      <c r="D32" s="5" t="s">
        <v>67</v>
      </c>
      <c r="E32" s="5" t="s">
        <v>60</v>
      </c>
      <c r="F32" s="5" t="s">
        <v>44</v>
      </c>
      <c r="G32" s="5" t="s">
        <v>45</v>
      </c>
      <c r="H32" s="6" t="n">
        <v>807</v>
      </c>
      <c r="I32" s="7" t="n">
        <v>95</v>
      </c>
      <c r="J32" s="8" t="n">
        <v>0.308</v>
      </c>
      <c r="K32" s="7" t="n">
        <v>32.9</v>
      </c>
      <c r="L32" s="9" t="n">
        <f aca="false">I32*(1-J32)</f>
        <v>65.74</v>
      </c>
      <c r="M32" s="10" t="n">
        <f aca="false">H32*I32</f>
        <v>76665</v>
      </c>
      <c r="N32" s="10" t="n">
        <f aca="false">H32*L32</f>
        <v>53052.18</v>
      </c>
      <c r="O32" s="10" t="n">
        <f aca="false">H32*K32</f>
        <v>26550.3</v>
      </c>
      <c r="P32" s="10" t="n">
        <f aca="false">N32-O32</f>
        <v>26501.88</v>
      </c>
      <c r="Q32" s="11" t="n">
        <f aca="false">IF(N32=0,0,P32/N32)</f>
        <v>0.499543656829936</v>
      </c>
    </row>
    <row r="33" customFormat="false" ht="15" hidden="false" customHeight="false" outlineLevel="0" collapsed="false">
      <c r="A33" s="5" t="s">
        <v>65</v>
      </c>
      <c r="B33" s="5" t="s">
        <v>40</v>
      </c>
      <c r="C33" s="5" t="s">
        <v>66</v>
      </c>
      <c r="D33" s="5" t="s">
        <v>67</v>
      </c>
      <c r="E33" s="5" t="s">
        <v>60</v>
      </c>
      <c r="F33" s="5" t="s">
        <v>46</v>
      </c>
      <c r="G33" s="5" t="s">
        <v>47</v>
      </c>
      <c r="H33" s="6" t="n">
        <v>669</v>
      </c>
      <c r="I33" s="7" t="n">
        <v>40</v>
      </c>
      <c r="J33" s="8" t="n">
        <v>0.316</v>
      </c>
      <c r="K33" s="7" t="n">
        <v>5.5</v>
      </c>
      <c r="L33" s="9" t="n">
        <f aca="false">I33*(1-J33)</f>
        <v>27.36</v>
      </c>
      <c r="M33" s="10" t="n">
        <f aca="false">H33*I33</f>
        <v>26760</v>
      </c>
      <c r="N33" s="10" t="n">
        <f aca="false">H33*L33</f>
        <v>18303.84</v>
      </c>
      <c r="O33" s="10" t="n">
        <f aca="false">H33*K33</f>
        <v>3679.5</v>
      </c>
      <c r="P33" s="10" t="n">
        <f aca="false">N33-O33</f>
        <v>14624.34</v>
      </c>
      <c r="Q33" s="11" t="n">
        <f aca="false">IF(N33=0,0,P33/N33)</f>
        <v>0.798976608187135</v>
      </c>
    </row>
    <row r="34" customFormat="false" ht="15" hidden="false" customHeight="false" outlineLevel="0" collapsed="false">
      <c r="A34" s="5" t="s">
        <v>65</v>
      </c>
      <c r="B34" s="5" t="s">
        <v>40</v>
      </c>
      <c r="C34" s="5" t="s">
        <v>66</v>
      </c>
      <c r="D34" s="5" t="s">
        <v>67</v>
      </c>
      <c r="E34" s="5" t="s">
        <v>60</v>
      </c>
      <c r="F34" s="5" t="s">
        <v>50</v>
      </c>
      <c r="G34" s="5" t="s">
        <v>51</v>
      </c>
      <c r="H34" s="6" t="n">
        <v>269</v>
      </c>
      <c r="I34" s="7" t="n">
        <v>66</v>
      </c>
      <c r="J34" s="8" t="n">
        <v>0.104</v>
      </c>
      <c r="K34" s="7" t="n">
        <v>31.9</v>
      </c>
      <c r="L34" s="9" t="n">
        <f aca="false">I34*(1-J34)</f>
        <v>59.136</v>
      </c>
      <c r="M34" s="10" t="n">
        <f aca="false">H34*I34</f>
        <v>17754</v>
      </c>
      <c r="N34" s="10" t="n">
        <f aca="false">H34*L34</f>
        <v>15907.584</v>
      </c>
      <c r="O34" s="10" t="n">
        <f aca="false">H34*K34</f>
        <v>8581.1</v>
      </c>
      <c r="P34" s="10" t="n">
        <f aca="false">N34-O34</f>
        <v>7326.484</v>
      </c>
      <c r="Q34" s="11" t="n">
        <f aca="false">IF(N34=0,0,P34/N34)</f>
        <v>0.460565476190476</v>
      </c>
    </row>
    <row r="35" customFormat="false" ht="15" hidden="false" customHeight="false" outlineLevel="0" collapsed="false">
      <c r="A35" s="5" t="s">
        <v>68</v>
      </c>
      <c r="B35" s="5" t="s">
        <v>40</v>
      </c>
      <c r="C35" s="5" t="s">
        <v>66</v>
      </c>
      <c r="D35" s="5" t="s">
        <v>69</v>
      </c>
      <c r="E35" s="5" t="s">
        <v>54</v>
      </c>
      <c r="F35" s="5" t="s">
        <v>44</v>
      </c>
      <c r="G35" s="5" t="s">
        <v>45</v>
      </c>
      <c r="H35" s="6" t="n">
        <v>576</v>
      </c>
      <c r="I35" s="7" t="n">
        <v>95</v>
      </c>
      <c r="J35" s="8" t="n">
        <v>0.27</v>
      </c>
      <c r="K35" s="7" t="n">
        <v>33.8</v>
      </c>
      <c r="L35" s="9" t="n">
        <f aca="false">I35*(1-J35)</f>
        <v>69.35</v>
      </c>
      <c r="M35" s="10" t="n">
        <f aca="false">H35*I35</f>
        <v>54720</v>
      </c>
      <c r="N35" s="10" t="n">
        <f aca="false">H35*L35</f>
        <v>39945.6</v>
      </c>
      <c r="O35" s="10" t="n">
        <f aca="false">H35*K35</f>
        <v>19468.8</v>
      </c>
      <c r="P35" s="10" t="n">
        <f aca="false">N35-O35</f>
        <v>20476.8</v>
      </c>
      <c r="Q35" s="11" t="n">
        <f aca="false">IF(N35=0,0,P35/N35)</f>
        <v>0.512617159336698</v>
      </c>
    </row>
    <row r="36" customFormat="false" ht="15" hidden="false" customHeight="false" outlineLevel="0" collapsed="false">
      <c r="A36" s="5" t="s">
        <v>68</v>
      </c>
      <c r="B36" s="5" t="s">
        <v>40</v>
      </c>
      <c r="C36" s="5" t="s">
        <v>66</v>
      </c>
      <c r="D36" s="5" t="s">
        <v>69</v>
      </c>
      <c r="E36" s="5" t="s">
        <v>54</v>
      </c>
      <c r="F36" s="5" t="s">
        <v>46</v>
      </c>
      <c r="G36" s="5" t="s">
        <v>47</v>
      </c>
      <c r="H36" s="6" t="n">
        <v>493</v>
      </c>
      <c r="I36" s="7" t="n">
        <v>40</v>
      </c>
      <c r="J36" s="8" t="n">
        <v>0.283</v>
      </c>
      <c r="K36" s="7" t="n">
        <v>5.7</v>
      </c>
      <c r="L36" s="9" t="n">
        <f aca="false">I36*(1-J36)</f>
        <v>28.68</v>
      </c>
      <c r="M36" s="10" t="n">
        <f aca="false">H36*I36</f>
        <v>19720</v>
      </c>
      <c r="N36" s="10" t="n">
        <f aca="false">H36*L36</f>
        <v>14139.24</v>
      </c>
      <c r="O36" s="10" t="n">
        <f aca="false">H36*K36</f>
        <v>2810.1</v>
      </c>
      <c r="P36" s="10" t="n">
        <f aca="false">N36-O36</f>
        <v>11329.14</v>
      </c>
      <c r="Q36" s="11" t="n">
        <f aca="false">IF(N36=0,0,P36/N36)</f>
        <v>0.801255230125523</v>
      </c>
    </row>
    <row r="37" customFormat="false" ht="15" hidden="false" customHeight="false" outlineLevel="0" collapsed="false">
      <c r="A37" s="5" t="s">
        <v>68</v>
      </c>
      <c r="B37" s="5" t="s">
        <v>40</v>
      </c>
      <c r="C37" s="5" t="s">
        <v>66</v>
      </c>
      <c r="D37" s="5" t="s">
        <v>69</v>
      </c>
      <c r="E37" s="5" t="s">
        <v>54</v>
      </c>
      <c r="F37" s="5" t="s">
        <v>48</v>
      </c>
      <c r="G37" s="5" t="s">
        <v>49</v>
      </c>
      <c r="H37" s="6" t="n">
        <v>94</v>
      </c>
      <c r="I37" s="7" t="n">
        <v>180</v>
      </c>
      <c r="J37" s="8" t="n">
        <v>0.088</v>
      </c>
      <c r="K37" s="7" t="n">
        <v>136.4</v>
      </c>
      <c r="L37" s="9" t="n">
        <f aca="false">I37*(1-J37)</f>
        <v>164.16</v>
      </c>
      <c r="M37" s="10" t="n">
        <f aca="false">H37*I37</f>
        <v>16920</v>
      </c>
      <c r="N37" s="10" t="n">
        <f aca="false">H37*L37</f>
        <v>15431.04</v>
      </c>
      <c r="O37" s="10" t="n">
        <f aca="false">H37*K37</f>
        <v>12821.6</v>
      </c>
      <c r="P37" s="10" t="n">
        <f aca="false">N37-O37</f>
        <v>2609.44</v>
      </c>
      <c r="Q37" s="11" t="n">
        <f aca="false">IF(N37=0,0,P37/N37)</f>
        <v>0.169103313840156</v>
      </c>
    </row>
    <row r="38" customFormat="false" ht="15" hidden="false" customHeight="false" outlineLevel="0" collapsed="false">
      <c r="A38" s="5" t="s">
        <v>68</v>
      </c>
      <c r="B38" s="5" t="s">
        <v>40</v>
      </c>
      <c r="C38" s="5" t="s">
        <v>66</v>
      </c>
      <c r="D38" s="5" t="s">
        <v>69</v>
      </c>
      <c r="E38" s="5" t="s">
        <v>54</v>
      </c>
      <c r="F38" s="5" t="s">
        <v>50</v>
      </c>
      <c r="G38" s="5" t="s">
        <v>51</v>
      </c>
      <c r="H38" s="6" t="n">
        <v>192</v>
      </c>
      <c r="I38" s="7" t="n">
        <v>66</v>
      </c>
      <c r="J38" s="8" t="n">
        <v>0.074</v>
      </c>
      <c r="K38" s="7" t="n">
        <v>33.1</v>
      </c>
      <c r="L38" s="9" t="n">
        <f aca="false">I38*(1-J38)</f>
        <v>61.116</v>
      </c>
      <c r="M38" s="10" t="n">
        <f aca="false">H38*I38</f>
        <v>12672</v>
      </c>
      <c r="N38" s="10" t="n">
        <f aca="false">H38*L38</f>
        <v>11734.272</v>
      </c>
      <c r="O38" s="10" t="n">
        <f aca="false">H38*K38</f>
        <v>6355.2</v>
      </c>
      <c r="P38" s="10" t="n">
        <f aca="false">N38-O38</f>
        <v>5379.072</v>
      </c>
      <c r="Q38" s="11" t="n">
        <f aca="false">IF(N38=0,0,P38/N38)</f>
        <v>0.458406963806532</v>
      </c>
    </row>
    <row r="39" customFormat="false" ht="15" hidden="false" customHeight="false" outlineLevel="0" collapsed="false">
      <c r="A39" s="5" t="s">
        <v>70</v>
      </c>
      <c r="B39" s="5" t="s">
        <v>40</v>
      </c>
      <c r="C39" s="5" t="s">
        <v>66</v>
      </c>
      <c r="D39" s="5" t="s">
        <v>67</v>
      </c>
      <c r="E39" s="5" t="s">
        <v>60</v>
      </c>
      <c r="F39" s="5" t="s">
        <v>44</v>
      </c>
      <c r="G39" s="5" t="s">
        <v>45</v>
      </c>
      <c r="H39" s="6" t="n">
        <v>807</v>
      </c>
      <c r="I39" s="7" t="n">
        <v>95</v>
      </c>
      <c r="J39" s="8" t="n">
        <v>0.297</v>
      </c>
      <c r="K39" s="7" t="n">
        <v>32.5</v>
      </c>
      <c r="L39" s="9" t="n">
        <f aca="false">I39*(1-J39)</f>
        <v>66.785</v>
      </c>
      <c r="M39" s="10" t="n">
        <f aca="false">H39*I39</f>
        <v>76665</v>
      </c>
      <c r="N39" s="10" t="n">
        <f aca="false">H39*L39</f>
        <v>53895.495</v>
      </c>
      <c r="O39" s="10" t="n">
        <f aca="false">H39*K39</f>
        <v>26227.5</v>
      </c>
      <c r="P39" s="10" t="n">
        <f aca="false">N39-O39</f>
        <v>27667.995</v>
      </c>
      <c r="Q39" s="11" t="n">
        <f aca="false">IF(N39=0,0,P39/N39)</f>
        <v>0.513363779291757</v>
      </c>
    </row>
    <row r="40" customFormat="false" ht="15" hidden="false" customHeight="false" outlineLevel="0" collapsed="false">
      <c r="A40" s="5" t="s">
        <v>70</v>
      </c>
      <c r="B40" s="5" t="s">
        <v>40</v>
      </c>
      <c r="C40" s="5" t="s">
        <v>66</v>
      </c>
      <c r="D40" s="5" t="s">
        <v>67</v>
      </c>
      <c r="E40" s="5" t="s">
        <v>60</v>
      </c>
      <c r="F40" s="5" t="s">
        <v>46</v>
      </c>
      <c r="G40" s="5" t="s">
        <v>47</v>
      </c>
      <c r="H40" s="6" t="n">
        <v>698</v>
      </c>
      <c r="I40" s="7" t="n">
        <v>40</v>
      </c>
      <c r="J40" s="8" t="n">
        <v>0.302</v>
      </c>
      <c r="K40" s="7" t="n">
        <v>5.4</v>
      </c>
      <c r="L40" s="9" t="n">
        <f aca="false">I40*(1-J40)</f>
        <v>27.92</v>
      </c>
      <c r="M40" s="10" t="n">
        <f aca="false">H40*I40</f>
        <v>27920</v>
      </c>
      <c r="N40" s="10" t="n">
        <f aca="false">H40*L40</f>
        <v>19488.16</v>
      </c>
      <c r="O40" s="10" t="n">
        <f aca="false">H40*K40</f>
        <v>3769.2</v>
      </c>
      <c r="P40" s="10" t="n">
        <f aca="false">N40-O40</f>
        <v>15718.96</v>
      </c>
      <c r="Q40" s="11" t="n">
        <f aca="false">IF(N40=0,0,P40/N40)</f>
        <v>0.806590257879656</v>
      </c>
    </row>
    <row r="41" customFormat="false" ht="15" hidden="false" customHeight="false" outlineLevel="0" collapsed="false">
      <c r="A41" s="5" t="s">
        <v>70</v>
      </c>
      <c r="B41" s="5" t="s">
        <v>40</v>
      </c>
      <c r="C41" s="5" t="s">
        <v>66</v>
      </c>
      <c r="D41" s="5" t="s">
        <v>67</v>
      </c>
      <c r="E41" s="5" t="s">
        <v>60</v>
      </c>
      <c r="F41" s="5" t="s">
        <v>50</v>
      </c>
      <c r="G41" s="5" t="s">
        <v>51</v>
      </c>
      <c r="H41" s="6" t="n">
        <v>269</v>
      </c>
      <c r="I41" s="7" t="n">
        <v>66</v>
      </c>
      <c r="J41" s="8" t="n">
        <v>0.105</v>
      </c>
      <c r="K41" s="7" t="n">
        <v>32.9</v>
      </c>
      <c r="L41" s="9" t="n">
        <f aca="false">I41*(1-J41)</f>
        <v>59.07</v>
      </c>
      <c r="M41" s="10" t="n">
        <f aca="false">H41*I41</f>
        <v>17754</v>
      </c>
      <c r="N41" s="10" t="n">
        <f aca="false">H41*L41</f>
        <v>15889.83</v>
      </c>
      <c r="O41" s="10" t="n">
        <f aca="false">H41*K41</f>
        <v>8850.1</v>
      </c>
      <c r="P41" s="10" t="n">
        <f aca="false">N41-O41</f>
        <v>7039.73</v>
      </c>
      <c r="Q41" s="11" t="n">
        <f aca="false">IF(N41=0,0,P41/N41)</f>
        <v>0.443033688843745</v>
      </c>
    </row>
    <row r="42" customFormat="false" ht="15" hidden="false" customHeight="false" outlineLevel="0" collapsed="false">
      <c r="A42" s="5" t="s">
        <v>71</v>
      </c>
      <c r="B42" s="5" t="s">
        <v>40</v>
      </c>
      <c r="C42" s="5" t="s">
        <v>66</v>
      </c>
      <c r="D42" s="5" t="s">
        <v>67</v>
      </c>
      <c r="E42" s="5" t="s">
        <v>43</v>
      </c>
      <c r="F42" s="5" t="s">
        <v>44</v>
      </c>
      <c r="G42" s="5" t="s">
        <v>45</v>
      </c>
      <c r="H42" s="6" t="n">
        <v>639</v>
      </c>
      <c r="I42" s="7" t="n">
        <v>95</v>
      </c>
      <c r="J42" s="8" t="n">
        <v>0.295</v>
      </c>
      <c r="K42" s="7" t="n">
        <v>34.2</v>
      </c>
      <c r="L42" s="9" t="n">
        <f aca="false">I42*(1-J42)</f>
        <v>66.975</v>
      </c>
      <c r="M42" s="10" t="n">
        <f aca="false">H42*I42</f>
        <v>60705</v>
      </c>
      <c r="N42" s="10" t="n">
        <f aca="false">H42*L42</f>
        <v>42797.025</v>
      </c>
      <c r="O42" s="10" t="n">
        <f aca="false">H42*K42</f>
        <v>21853.8</v>
      </c>
      <c r="P42" s="10" t="n">
        <f aca="false">N42-O42</f>
        <v>20943.225</v>
      </c>
      <c r="Q42" s="11" t="n">
        <f aca="false">IF(N42=0,0,P42/N42)</f>
        <v>0.48936170212766</v>
      </c>
    </row>
    <row r="43" customFormat="false" ht="15" hidden="false" customHeight="false" outlineLevel="0" collapsed="false">
      <c r="A43" s="5" t="s">
        <v>71</v>
      </c>
      <c r="B43" s="5" t="s">
        <v>40</v>
      </c>
      <c r="C43" s="5" t="s">
        <v>66</v>
      </c>
      <c r="D43" s="5" t="s">
        <v>67</v>
      </c>
      <c r="E43" s="5" t="s">
        <v>43</v>
      </c>
      <c r="F43" s="5" t="s">
        <v>46</v>
      </c>
      <c r="G43" s="5" t="s">
        <v>47</v>
      </c>
      <c r="H43" s="6" t="n">
        <v>539</v>
      </c>
      <c r="I43" s="7" t="n">
        <v>40</v>
      </c>
      <c r="J43" s="8" t="n">
        <v>0.327</v>
      </c>
      <c r="K43" s="7" t="n">
        <v>5.7</v>
      </c>
      <c r="L43" s="9" t="n">
        <f aca="false">I43*(1-J43)</f>
        <v>26.92</v>
      </c>
      <c r="M43" s="10" t="n">
        <f aca="false">H43*I43</f>
        <v>21560</v>
      </c>
      <c r="N43" s="10" t="n">
        <f aca="false">H43*L43</f>
        <v>14509.88</v>
      </c>
      <c r="O43" s="10" t="n">
        <f aca="false">H43*K43</f>
        <v>3072.3</v>
      </c>
      <c r="P43" s="10" t="n">
        <f aca="false">N43-O43</f>
        <v>11437.58</v>
      </c>
      <c r="Q43" s="11" t="n">
        <f aca="false">IF(N43=0,0,P43/N43)</f>
        <v>0.788261515601783</v>
      </c>
    </row>
    <row r="44" customFormat="false" ht="15" hidden="false" customHeight="false" outlineLevel="0" collapsed="false">
      <c r="A44" s="5" t="s">
        <v>71</v>
      </c>
      <c r="B44" s="5" t="s">
        <v>40</v>
      </c>
      <c r="C44" s="5" t="s">
        <v>66</v>
      </c>
      <c r="D44" s="5" t="s">
        <v>67</v>
      </c>
      <c r="E44" s="5" t="s">
        <v>43</v>
      </c>
      <c r="F44" s="5" t="s">
        <v>48</v>
      </c>
      <c r="G44" s="5" t="s">
        <v>49</v>
      </c>
      <c r="H44" s="6" t="n">
        <v>75</v>
      </c>
      <c r="I44" s="7" t="n">
        <v>180</v>
      </c>
      <c r="J44" s="8" t="n">
        <v>0.068</v>
      </c>
      <c r="K44" s="7" t="n">
        <v>138.3</v>
      </c>
      <c r="L44" s="9" t="n">
        <f aca="false">I44*(1-J44)</f>
        <v>167.76</v>
      </c>
      <c r="M44" s="10" t="n">
        <f aca="false">H44*I44</f>
        <v>13500</v>
      </c>
      <c r="N44" s="10" t="n">
        <f aca="false">H44*L44</f>
        <v>12582</v>
      </c>
      <c r="O44" s="10" t="n">
        <f aca="false">H44*K44</f>
        <v>10372.5</v>
      </c>
      <c r="P44" s="10" t="n">
        <f aca="false">N44-O44</f>
        <v>2209.5</v>
      </c>
      <c r="Q44" s="11" t="n">
        <f aca="false">IF(N44=0,0,P44/N44)</f>
        <v>0.175608011444921</v>
      </c>
    </row>
    <row r="45" customFormat="false" ht="15" hidden="false" customHeight="false" outlineLevel="0" collapsed="false">
      <c r="A45" s="5" t="s">
        <v>71</v>
      </c>
      <c r="B45" s="5" t="s">
        <v>40</v>
      </c>
      <c r="C45" s="5" t="s">
        <v>66</v>
      </c>
      <c r="D45" s="5" t="s">
        <v>67</v>
      </c>
      <c r="E45" s="5" t="s">
        <v>43</v>
      </c>
      <c r="F45" s="5" t="s">
        <v>50</v>
      </c>
      <c r="G45" s="5" t="s">
        <v>51</v>
      </c>
      <c r="H45" s="6" t="n">
        <v>213</v>
      </c>
      <c r="I45" s="7" t="n">
        <v>66</v>
      </c>
      <c r="J45" s="8" t="n">
        <v>0.124</v>
      </c>
      <c r="K45" s="7" t="n">
        <v>31.8</v>
      </c>
      <c r="L45" s="9" t="n">
        <f aca="false">I45*(1-J45)</f>
        <v>57.816</v>
      </c>
      <c r="M45" s="10" t="n">
        <f aca="false">H45*I45</f>
        <v>14058</v>
      </c>
      <c r="N45" s="10" t="n">
        <f aca="false">H45*L45</f>
        <v>12314.808</v>
      </c>
      <c r="O45" s="10" t="n">
        <f aca="false">H45*K45</f>
        <v>6773.4</v>
      </c>
      <c r="P45" s="10" t="n">
        <f aca="false">N45-O45</f>
        <v>5541.408</v>
      </c>
      <c r="Q45" s="11" t="n">
        <f aca="false">IF(N45=0,0,P45/N45)</f>
        <v>0.449979244499792</v>
      </c>
    </row>
    <row r="46" customFormat="false" ht="15" hidden="false" customHeight="false" outlineLevel="0" collapsed="false">
      <c r="A46" s="5" t="s">
        <v>72</v>
      </c>
      <c r="B46" s="5" t="s">
        <v>40</v>
      </c>
      <c r="C46" s="5" t="s">
        <v>73</v>
      </c>
      <c r="D46" s="5" t="s">
        <v>74</v>
      </c>
      <c r="E46" s="5" t="s">
        <v>54</v>
      </c>
      <c r="F46" s="5" t="s">
        <v>44</v>
      </c>
      <c r="G46" s="5" t="s">
        <v>45</v>
      </c>
      <c r="H46" s="6" t="n">
        <v>921</v>
      </c>
      <c r="I46" s="7" t="n">
        <v>95</v>
      </c>
      <c r="J46" s="8" t="n">
        <v>0.263</v>
      </c>
      <c r="K46" s="7" t="n">
        <v>33.4</v>
      </c>
      <c r="L46" s="9" t="n">
        <f aca="false">I46*(1-J46)</f>
        <v>70.015</v>
      </c>
      <c r="M46" s="10" t="n">
        <f aca="false">H46*I46</f>
        <v>87495</v>
      </c>
      <c r="N46" s="10" t="n">
        <f aca="false">H46*L46</f>
        <v>64483.815</v>
      </c>
      <c r="O46" s="10" t="n">
        <f aca="false">H46*K46</f>
        <v>30761.4</v>
      </c>
      <c r="P46" s="10" t="n">
        <f aca="false">N46-O46</f>
        <v>33722.415</v>
      </c>
      <c r="Q46" s="11" t="n">
        <f aca="false">IF(N46=0,0,P46/N46)</f>
        <v>0.522959365850175</v>
      </c>
    </row>
    <row r="47" customFormat="false" ht="15" hidden="false" customHeight="false" outlineLevel="0" collapsed="false">
      <c r="A47" s="5" t="s">
        <v>72</v>
      </c>
      <c r="B47" s="5" t="s">
        <v>40</v>
      </c>
      <c r="C47" s="5" t="s">
        <v>73</v>
      </c>
      <c r="D47" s="5" t="s">
        <v>74</v>
      </c>
      <c r="E47" s="5" t="s">
        <v>54</v>
      </c>
      <c r="F47" s="5" t="s">
        <v>46</v>
      </c>
      <c r="G47" s="5" t="s">
        <v>47</v>
      </c>
      <c r="H47" s="6" t="n">
        <v>783</v>
      </c>
      <c r="I47" s="7" t="n">
        <v>40</v>
      </c>
      <c r="J47" s="8" t="n">
        <v>0.291</v>
      </c>
      <c r="K47" s="7" t="n">
        <v>5.6</v>
      </c>
      <c r="L47" s="9" t="n">
        <f aca="false">I47*(1-J47)</f>
        <v>28.36</v>
      </c>
      <c r="M47" s="10" t="n">
        <f aca="false">H47*I47</f>
        <v>31320</v>
      </c>
      <c r="N47" s="10" t="n">
        <f aca="false">H47*L47</f>
        <v>22205.88</v>
      </c>
      <c r="O47" s="10" t="n">
        <f aca="false">H47*K47</f>
        <v>4384.8</v>
      </c>
      <c r="P47" s="10" t="n">
        <f aca="false">N47-O47</f>
        <v>17821.08</v>
      </c>
      <c r="Q47" s="11" t="n">
        <f aca="false">IF(N47=0,0,P47/N47)</f>
        <v>0.802538787023978</v>
      </c>
    </row>
    <row r="48" customFormat="false" ht="15" hidden="false" customHeight="false" outlineLevel="0" collapsed="false">
      <c r="A48" s="5" t="s">
        <v>72</v>
      </c>
      <c r="B48" s="5" t="s">
        <v>40</v>
      </c>
      <c r="C48" s="5" t="s">
        <v>73</v>
      </c>
      <c r="D48" s="5" t="s">
        <v>74</v>
      </c>
      <c r="E48" s="5" t="s">
        <v>54</v>
      </c>
      <c r="F48" s="5" t="s">
        <v>48</v>
      </c>
      <c r="G48" s="5" t="s">
        <v>49</v>
      </c>
      <c r="H48" s="6" t="n">
        <v>140</v>
      </c>
      <c r="I48" s="7" t="n">
        <v>180</v>
      </c>
      <c r="J48" s="8" t="n">
        <v>0.093</v>
      </c>
      <c r="K48" s="7" t="n">
        <v>137.1</v>
      </c>
      <c r="L48" s="9" t="n">
        <f aca="false">I48*(1-J48)</f>
        <v>163.26</v>
      </c>
      <c r="M48" s="10" t="n">
        <f aca="false">H48*I48</f>
        <v>25200</v>
      </c>
      <c r="N48" s="10" t="n">
        <f aca="false">H48*L48</f>
        <v>22856.4</v>
      </c>
      <c r="O48" s="10" t="n">
        <f aca="false">H48*K48</f>
        <v>19194</v>
      </c>
      <c r="P48" s="10" t="n">
        <f aca="false">N48-O48</f>
        <v>3662.4</v>
      </c>
      <c r="Q48" s="11" t="n">
        <f aca="false">IF(N48=0,0,P48/N48)</f>
        <v>0.160235207644248</v>
      </c>
    </row>
    <row r="49" customFormat="false" ht="15" hidden="false" customHeight="false" outlineLevel="0" collapsed="false">
      <c r="A49" s="5" t="s">
        <v>72</v>
      </c>
      <c r="B49" s="5" t="s">
        <v>40</v>
      </c>
      <c r="C49" s="5" t="s">
        <v>73</v>
      </c>
      <c r="D49" s="5" t="s">
        <v>74</v>
      </c>
      <c r="E49" s="5" t="s">
        <v>54</v>
      </c>
      <c r="F49" s="5" t="s">
        <v>50</v>
      </c>
      <c r="G49" s="5" t="s">
        <v>51</v>
      </c>
      <c r="H49" s="6" t="n">
        <v>307</v>
      </c>
      <c r="I49" s="7" t="n">
        <v>66</v>
      </c>
      <c r="J49" s="8" t="n">
        <v>0.106</v>
      </c>
      <c r="K49" s="7" t="n">
        <v>31.8</v>
      </c>
      <c r="L49" s="9" t="n">
        <f aca="false">I49*(1-J49)</f>
        <v>59.004</v>
      </c>
      <c r="M49" s="10" t="n">
        <f aca="false">H49*I49</f>
        <v>20262</v>
      </c>
      <c r="N49" s="10" t="n">
        <f aca="false">H49*L49</f>
        <v>18114.228</v>
      </c>
      <c r="O49" s="10" t="n">
        <f aca="false">H49*K49</f>
        <v>9762.6</v>
      </c>
      <c r="P49" s="10" t="n">
        <f aca="false">N49-O49</f>
        <v>8351.628</v>
      </c>
      <c r="Q49" s="11" t="n">
        <f aca="false">IF(N49=0,0,P49/N49)</f>
        <v>0.461053487899125</v>
      </c>
    </row>
    <row r="50" customFormat="false" ht="15" hidden="false" customHeight="false" outlineLevel="0" collapsed="false">
      <c r="A50" s="5" t="s">
        <v>75</v>
      </c>
      <c r="B50" s="5" t="s">
        <v>40</v>
      </c>
      <c r="C50" s="5" t="s">
        <v>73</v>
      </c>
      <c r="D50" s="5" t="s">
        <v>74</v>
      </c>
      <c r="E50" s="5" t="s">
        <v>43</v>
      </c>
      <c r="F50" s="5" t="s">
        <v>44</v>
      </c>
      <c r="G50" s="5" t="s">
        <v>45</v>
      </c>
      <c r="H50" s="6" t="n">
        <v>612</v>
      </c>
      <c r="I50" s="7" t="n">
        <v>95</v>
      </c>
      <c r="J50" s="8" t="n">
        <v>0.296</v>
      </c>
      <c r="K50" s="7" t="n">
        <v>34.3</v>
      </c>
      <c r="L50" s="9" t="n">
        <f aca="false">I50*(1-J50)</f>
        <v>66.88</v>
      </c>
      <c r="M50" s="10" t="n">
        <f aca="false">H50*I50</f>
        <v>58140</v>
      </c>
      <c r="N50" s="10" t="n">
        <f aca="false">H50*L50</f>
        <v>40930.56</v>
      </c>
      <c r="O50" s="10" t="n">
        <f aca="false">H50*K50</f>
        <v>20991.6</v>
      </c>
      <c r="P50" s="10" t="n">
        <f aca="false">N50-O50</f>
        <v>19938.96</v>
      </c>
      <c r="Q50" s="11" t="n">
        <f aca="false">IF(N50=0,0,P50/N50)</f>
        <v>0.487141148325359</v>
      </c>
    </row>
    <row r="51" customFormat="false" ht="15" hidden="false" customHeight="false" outlineLevel="0" collapsed="false">
      <c r="A51" s="5" t="s">
        <v>75</v>
      </c>
      <c r="B51" s="5" t="s">
        <v>40</v>
      </c>
      <c r="C51" s="5" t="s">
        <v>73</v>
      </c>
      <c r="D51" s="5" t="s">
        <v>74</v>
      </c>
      <c r="E51" s="5" t="s">
        <v>43</v>
      </c>
      <c r="F51" s="5" t="s">
        <v>46</v>
      </c>
      <c r="G51" s="5" t="s">
        <v>47</v>
      </c>
      <c r="H51" s="6" t="n">
        <v>517</v>
      </c>
      <c r="I51" s="7" t="n">
        <v>40</v>
      </c>
      <c r="J51" s="8" t="n">
        <v>0.294</v>
      </c>
      <c r="K51" s="7" t="n">
        <v>5.7</v>
      </c>
      <c r="L51" s="9" t="n">
        <f aca="false">I51*(1-J51)</f>
        <v>28.24</v>
      </c>
      <c r="M51" s="10" t="n">
        <f aca="false">H51*I51</f>
        <v>20680</v>
      </c>
      <c r="N51" s="10" t="n">
        <f aca="false">H51*L51</f>
        <v>14600.08</v>
      </c>
      <c r="O51" s="10" t="n">
        <f aca="false">H51*K51</f>
        <v>2946.9</v>
      </c>
      <c r="P51" s="10" t="n">
        <f aca="false">N51-O51</f>
        <v>11653.18</v>
      </c>
      <c r="Q51" s="11" t="n">
        <f aca="false">IF(N51=0,0,P51/N51)</f>
        <v>0.798158640226629</v>
      </c>
    </row>
    <row r="52" customFormat="false" ht="15" hidden="false" customHeight="false" outlineLevel="0" collapsed="false">
      <c r="A52" s="5" t="s">
        <v>75</v>
      </c>
      <c r="B52" s="5" t="s">
        <v>40</v>
      </c>
      <c r="C52" s="5" t="s">
        <v>73</v>
      </c>
      <c r="D52" s="5" t="s">
        <v>74</v>
      </c>
      <c r="E52" s="5" t="s">
        <v>43</v>
      </c>
      <c r="F52" s="5" t="s">
        <v>48</v>
      </c>
      <c r="G52" s="5" t="s">
        <v>49</v>
      </c>
      <c r="H52" s="6" t="n">
        <v>60</v>
      </c>
      <c r="I52" s="7" t="n">
        <v>180</v>
      </c>
      <c r="J52" s="8" t="n">
        <v>0.09</v>
      </c>
      <c r="K52" s="7" t="n">
        <v>142.7</v>
      </c>
      <c r="L52" s="9" t="n">
        <f aca="false">I52*(1-J52)</f>
        <v>163.8</v>
      </c>
      <c r="M52" s="10" t="n">
        <f aca="false">H52*I52</f>
        <v>10800</v>
      </c>
      <c r="N52" s="10" t="n">
        <f aca="false">H52*L52</f>
        <v>9828</v>
      </c>
      <c r="O52" s="10" t="n">
        <f aca="false">H52*K52</f>
        <v>8562</v>
      </c>
      <c r="P52" s="10" t="n">
        <f aca="false">N52-O52</f>
        <v>1266</v>
      </c>
      <c r="Q52" s="11" t="n">
        <f aca="false">IF(N52=0,0,P52/N52)</f>
        <v>0.128815628815629</v>
      </c>
    </row>
    <row r="53" customFormat="false" ht="15" hidden="false" customHeight="false" outlineLevel="0" collapsed="false">
      <c r="A53" s="5" t="s">
        <v>75</v>
      </c>
      <c r="B53" s="5" t="s">
        <v>40</v>
      </c>
      <c r="C53" s="5" t="s">
        <v>73</v>
      </c>
      <c r="D53" s="5" t="s">
        <v>74</v>
      </c>
      <c r="E53" s="5" t="s">
        <v>43</v>
      </c>
      <c r="F53" s="5" t="s">
        <v>50</v>
      </c>
      <c r="G53" s="5" t="s">
        <v>51</v>
      </c>
      <c r="H53" s="6" t="n">
        <v>204</v>
      </c>
      <c r="I53" s="7" t="n">
        <v>66</v>
      </c>
      <c r="J53" s="8" t="n">
        <v>0.126</v>
      </c>
      <c r="K53" s="7" t="n">
        <v>32.8</v>
      </c>
      <c r="L53" s="9" t="n">
        <f aca="false">I53*(1-J53)</f>
        <v>57.684</v>
      </c>
      <c r="M53" s="10" t="n">
        <f aca="false">H53*I53</f>
        <v>13464</v>
      </c>
      <c r="N53" s="10" t="n">
        <f aca="false">H53*L53</f>
        <v>11767.536</v>
      </c>
      <c r="O53" s="10" t="n">
        <f aca="false">H53*K53</f>
        <v>6691.2</v>
      </c>
      <c r="P53" s="10" t="n">
        <f aca="false">N53-O53</f>
        <v>5076.336</v>
      </c>
      <c r="Q53" s="11" t="n">
        <f aca="false">IF(N53=0,0,P53/N53)</f>
        <v>0.431384786075862</v>
      </c>
    </row>
    <row r="54" customFormat="false" ht="15" hidden="false" customHeight="false" outlineLevel="0" collapsed="false">
      <c r="A54" s="5" t="s">
        <v>76</v>
      </c>
      <c r="B54" s="5" t="s">
        <v>40</v>
      </c>
      <c r="C54" s="5" t="s">
        <v>73</v>
      </c>
      <c r="D54" s="5" t="s">
        <v>77</v>
      </c>
      <c r="E54" s="5" t="s">
        <v>54</v>
      </c>
      <c r="F54" s="5" t="s">
        <v>44</v>
      </c>
      <c r="G54" s="5" t="s">
        <v>45</v>
      </c>
      <c r="H54" s="6" t="n">
        <v>453</v>
      </c>
      <c r="I54" s="7" t="n">
        <v>95</v>
      </c>
      <c r="J54" s="8" t="n">
        <v>0.302</v>
      </c>
      <c r="K54" s="7" t="n">
        <v>32.6</v>
      </c>
      <c r="L54" s="9" t="n">
        <f aca="false">I54*(1-J54)</f>
        <v>66.31</v>
      </c>
      <c r="M54" s="10" t="n">
        <f aca="false">H54*I54</f>
        <v>43035</v>
      </c>
      <c r="N54" s="10" t="n">
        <f aca="false">H54*L54</f>
        <v>30038.43</v>
      </c>
      <c r="O54" s="10" t="n">
        <f aca="false">H54*K54</f>
        <v>14767.8</v>
      </c>
      <c r="P54" s="10" t="n">
        <f aca="false">N54-O54</f>
        <v>15270.63</v>
      </c>
      <c r="Q54" s="11" t="n">
        <f aca="false">IF(N54=0,0,P54/N54)</f>
        <v>0.50836977831398</v>
      </c>
    </row>
    <row r="55" customFormat="false" ht="15" hidden="false" customHeight="false" outlineLevel="0" collapsed="false">
      <c r="A55" s="5" t="s">
        <v>76</v>
      </c>
      <c r="B55" s="5" t="s">
        <v>40</v>
      </c>
      <c r="C55" s="5" t="s">
        <v>73</v>
      </c>
      <c r="D55" s="5" t="s">
        <v>77</v>
      </c>
      <c r="E55" s="5" t="s">
        <v>54</v>
      </c>
      <c r="F55" s="5" t="s">
        <v>46</v>
      </c>
      <c r="G55" s="5" t="s">
        <v>47</v>
      </c>
      <c r="H55" s="6" t="n">
        <v>417</v>
      </c>
      <c r="I55" s="7" t="n">
        <v>40</v>
      </c>
      <c r="J55" s="8" t="n">
        <v>0.328</v>
      </c>
      <c r="K55" s="7" t="n">
        <v>5.5</v>
      </c>
      <c r="L55" s="9" t="n">
        <f aca="false">I55*(1-J55)</f>
        <v>26.88</v>
      </c>
      <c r="M55" s="10" t="n">
        <f aca="false">H55*I55</f>
        <v>16680</v>
      </c>
      <c r="N55" s="10" t="n">
        <f aca="false">H55*L55</f>
        <v>11208.96</v>
      </c>
      <c r="O55" s="10" t="n">
        <f aca="false">H55*K55</f>
        <v>2293.5</v>
      </c>
      <c r="P55" s="10" t="n">
        <f aca="false">N55-O55</f>
        <v>8915.46</v>
      </c>
      <c r="Q55" s="11" t="n">
        <f aca="false">IF(N55=0,0,P55/N55)</f>
        <v>0.795386904761905</v>
      </c>
    </row>
    <row r="56" customFormat="false" ht="15" hidden="false" customHeight="false" outlineLevel="0" collapsed="false">
      <c r="A56" s="5" t="s">
        <v>76</v>
      </c>
      <c r="B56" s="5" t="s">
        <v>40</v>
      </c>
      <c r="C56" s="5" t="s">
        <v>73</v>
      </c>
      <c r="D56" s="5" t="s">
        <v>77</v>
      </c>
      <c r="E56" s="5" t="s">
        <v>54</v>
      </c>
      <c r="F56" s="5" t="s">
        <v>48</v>
      </c>
      <c r="G56" s="5" t="s">
        <v>49</v>
      </c>
      <c r="H56" s="6" t="n">
        <v>78</v>
      </c>
      <c r="I56" s="7" t="n">
        <v>180</v>
      </c>
      <c r="J56" s="8" t="n">
        <v>0.083</v>
      </c>
      <c r="K56" s="7" t="n">
        <v>141.8</v>
      </c>
      <c r="L56" s="9" t="n">
        <f aca="false">I56*(1-J56)</f>
        <v>165.06</v>
      </c>
      <c r="M56" s="10" t="n">
        <f aca="false">H56*I56</f>
        <v>14040</v>
      </c>
      <c r="N56" s="10" t="n">
        <f aca="false">H56*L56</f>
        <v>12874.68</v>
      </c>
      <c r="O56" s="10" t="n">
        <f aca="false">H56*K56</f>
        <v>11060.4</v>
      </c>
      <c r="P56" s="10" t="n">
        <f aca="false">N56-O56</f>
        <v>1814.28</v>
      </c>
      <c r="Q56" s="11" t="n">
        <f aca="false">IF(N56=0,0,P56/N56)</f>
        <v>0.140918453895553</v>
      </c>
    </row>
    <row r="57" customFormat="false" ht="15" hidden="false" customHeight="false" outlineLevel="0" collapsed="false">
      <c r="A57" s="5" t="s">
        <v>76</v>
      </c>
      <c r="B57" s="5" t="s">
        <v>40</v>
      </c>
      <c r="C57" s="5" t="s">
        <v>73</v>
      </c>
      <c r="D57" s="5" t="s">
        <v>77</v>
      </c>
      <c r="E57" s="5" t="s">
        <v>54</v>
      </c>
      <c r="F57" s="5" t="s">
        <v>50</v>
      </c>
      <c r="G57" s="5" t="s">
        <v>51</v>
      </c>
      <c r="H57" s="6" t="n">
        <v>151</v>
      </c>
      <c r="I57" s="7" t="n">
        <v>66</v>
      </c>
      <c r="J57" s="8" t="n">
        <v>0.111</v>
      </c>
      <c r="K57" s="7" t="n">
        <v>31.8</v>
      </c>
      <c r="L57" s="9" t="n">
        <f aca="false">I57*(1-J57)</f>
        <v>58.674</v>
      </c>
      <c r="M57" s="10" t="n">
        <f aca="false">H57*I57</f>
        <v>9966</v>
      </c>
      <c r="N57" s="10" t="n">
        <f aca="false">H57*L57</f>
        <v>8859.774</v>
      </c>
      <c r="O57" s="10" t="n">
        <f aca="false">H57*K57</f>
        <v>4801.8</v>
      </c>
      <c r="P57" s="10" t="n">
        <f aca="false">N57-O57</f>
        <v>4057.974</v>
      </c>
      <c r="Q57" s="11" t="n">
        <f aca="false">IF(N57=0,0,P57/N57)</f>
        <v>0.458022292667962</v>
      </c>
    </row>
    <row r="58" customFormat="false" ht="15" hidden="false" customHeight="false" outlineLevel="0" collapsed="false">
      <c r="A58" s="5" t="s">
        <v>78</v>
      </c>
      <c r="B58" s="5" t="s">
        <v>40</v>
      </c>
      <c r="C58" s="5" t="s">
        <v>73</v>
      </c>
      <c r="D58" s="5" t="s">
        <v>79</v>
      </c>
      <c r="E58" s="5" t="s">
        <v>54</v>
      </c>
      <c r="F58" s="5" t="s">
        <v>44</v>
      </c>
      <c r="G58" s="5" t="s">
        <v>45</v>
      </c>
      <c r="H58" s="6" t="n">
        <v>648</v>
      </c>
      <c r="I58" s="7" t="n">
        <v>95</v>
      </c>
      <c r="J58" s="8" t="n">
        <v>0.255</v>
      </c>
      <c r="K58" s="7" t="n">
        <v>33.4</v>
      </c>
      <c r="L58" s="9" t="n">
        <f aca="false">I58*(1-J58)</f>
        <v>70.775</v>
      </c>
      <c r="M58" s="10" t="n">
        <f aca="false">H58*I58</f>
        <v>61560</v>
      </c>
      <c r="N58" s="10" t="n">
        <f aca="false">H58*L58</f>
        <v>45862.2</v>
      </c>
      <c r="O58" s="10" t="n">
        <f aca="false">H58*K58</f>
        <v>21643.2</v>
      </c>
      <c r="P58" s="10" t="n">
        <f aca="false">N58-O58</f>
        <v>24219</v>
      </c>
      <c r="Q58" s="11" t="n">
        <f aca="false">IF(N58=0,0,P58/N58)</f>
        <v>0.528081949841046</v>
      </c>
    </row>
    <row r="59" customFormat="false" ht="15" hidden="false" customHeight="false" outlineLevel="0" collapsed="false">
      <c r="A59" s="5" t="s">
        <v>78</v>
      </c>
      <c r="B59" s="5" t="s">
        <v>40</v>
      </c>
      <c r="C59" s="5" t="s">
        <v>73</v>
      </c>
      <c r="D59" s="5" t="s">
        <v>79</v>
      </c>
      <c r="E59" s="5" t="s">
        <v>54</v>
      </c>
      <c r="F59" s="5" t="s">
        <v>46</v>
      </c>
      <c r="G59" s="5" t="s">
        <v>47</v>
      </c>
      <c r="H59" s="6" t="n">
        <v>585</v>
      </c>
      <c r="I59" s="7" t="n">
        <v>40</v>
      </c>
      <c r="J59" s="8" t="n">
        <v>0.322</v>
      </c>
      <c r="K59" s="7" t="n">
        <v>5.7</v>
      </c>
      <c r="L59" s="9" t="n">
        <f aca="false">I59*(1-J59)</f>
        <v>27.12</v>
      </c>
      <c r="M59" s="10" t="n">
        <f aca="false">H59*I59</f>
        <v>23400</v>
      </c>
      <c r="N59" s="10" t="n">
        <f aca="false">H59*L59</f>
        <v>15865.2</v>
      </c>
      <c r="O59" s="10" t="n">
        <f aca="false">H59*K59</f>
        <v>3334.5</v>
      </c>
      <c r="P59" s="10" t="n">
        <f aca="false">N59-O59</f>
        <v>12530.7</v>
      </c>
      <c r="Q59" s="11" t="n">
        <f aca="false">IF(N59=0,0,P59/N59)</f>
        <v>0.789823008849558</v>
      </c>
    </row>
    <row r="60" customFormat="false" ht="15" hidden="false" customHeight="false" outlineLevel="0" collapsed="false">
      <c r="A60" s="5" t="s">
        <v>78</v>
      </c>
      <c r="B60" s="5" t="s">
        <v>40</v>
      </c>
      <c r="C60" s="5" t="s">
        <v>73</v>
      </c>
      <c r="D60" s="5" t="s">
        <v>79</v>
      </c>
      <c r="E60" s="5" t="s">
        <v>54</v>
      </c>
      <c r="F60" s="5" t="s">
        <v>48</v>
      </c>
      <c r="G60" s="5" t="s">
        <v>49</v>
      </c>
      <c r="H60" s="6" t="n">
        <v>84</v>
      </c>
      <c r="I60" s="7" t="n">
        <v>180</v>
      </c>
      <c r="J60" s="8" t="n">
        <v>0.08</v>
      </c>
      <c r="K60" s="7" t="n">
        <v>140.5</v>
      </c>
      <c r="L60" s="9" t="n">
        <f aca="false">I60*(1-J60)</f>
        <v>165.6</v>
      </c>
      <c r="M60" s="10" t="n">
        <f aca="false">H60*I60</f>
        <v>15120</v>
      </c>
      <c r="N60" s="10" t="n">
        <f aca="false">H60*L60</f>
        <v>13910.4</v>
      </c>
      <c r="O60" s="10" t="n">
        <f aca="false">H60*K60</f>
        <v>11802</v>
      </c>
      <c r="P60" s="10" t="n">
        <f aca="false">N60-O60</f>
        <v>2108.4</v>
      </c>
      <c r="Q60" s="11" t="n">
        <f aca="false">IF(N60=0,0,P60/N60)</f>
        <v>0.151570048309179</v>
      </c>
    </row>
    <row r="61" customFormat="false" ht="15" hidden="false" customHeight="false" outlineLevel="0" collapsed="false">
      <c r="A61" s="5" t="s">
        <v>78</v>
      </c>
      <c r="B61" s="5" t="s">
        <v>40</v>
      </c>
      <c r="C61" s="5" t="s">
        <v>73</v>
      </c>
      <c r="D61" s="5" t="s">
        <v>79</v>
      </c>
      <c r="E61" s="5" t="s">
        <v>54</v>
      </c>
      <c r="F61" s="5" t="s">
        <v>50</v>
      </c>
      <c r="G61" s="5" t="s">
        <v>51</v>
      </c>
      <c r="H61" s="6" t="n">
        <v>216</v>
      </c>
      <c r="I61" s="7" t="n">
        <v>66</v>
      </c>
      <c r="J61" s="8" t="n">
        <v>0.105</v>
      </c>
      <c r="K61" s="7" t="n">
        <v>33.6</v>
      </c>
      <c r="L61" s="9" t="n">
        <f aca="false">I61*(1-J61)</f>
        <v>59.07</v>
      </c>
      <c r="M61" s="10" t="n">
        <f aca="false">H61*I61</f>
        <v>14256</v>
      </c>
      <c r="N61" s="10" t="n">
        <f aca="false">H61*L61</f>
        <v>12759.12</v>
      </c>
      <c r="O61" s="10" t="n">
        <f aca="false">H61*K61</f>
        <v>7257.6</v>
      </c>
      <c r="P61" s="10" t="n">
        <f aca="false">N61-O61</f>
        <v>5501.52</v>
      </c>
      <c r="Q61" s="11" t="n">
        <f aca="false">IF(N61=0,0,P61/N61)</f>
        <v>0.431183341797867</v>
      </c>
    </row>
    <row r="62" customFormat="false" ht="15" hidden="false" customHeight="false" outlineLevel="0" collapsed="false">
      <c r="A62" s="5" t="s">
        <v>80</v>
      </c>
      <c r="B62" s="5" t="s">
        <v>81</v>
      </c>
      <c r="C62" s="5" t="s">
        <v>41</v>
      </c>
      <c r="D62" s="5" t="s">
        <v>53</v>
      </c>
      <c r="E62" s="5" t="s">
        <v>60</v>
      </c>
      <c r="F62" s="5" t="s">
        <v>44</v>
      </c>
      <c r="G62" s="5" t="s">
        <v>45</v>
      </c>
      <c r="H62" s="6" t="n">
        <v>795</v>
      </c>
      <c r="I62" s="7" t="n">
        <v>95</v>
      </c>
      <c r="J62" s="8" t="n">
        <v>0.309</v>
      </c>
      <c r="K62" s="7" t="n">
        <v>33.4</v>
      </c>
      <c r="L62" s="9" t="n">
        <f aca="false">I62*(1-J62)</f>
        <v>65.645</v>
      </c>
      <c r="M62" s="10" t="n">
        <f aca="false">H62*I62</f>
        <v>75525</v>
      </c>
      <c r="N62" s="10" t="n">
        <f aca="false">H62*L62</f>
        <v>52187.775</v>
      </c>
      <c r="O62" s="10" t="n">
        <f aca="false">H62*K62</f>
        <v>26553</v>
      </c>
      <c r="P62" s="10" t="n">
        <f aca="false">N62-O62</f>
        <v>25634.775</v>
      </c>
      <c r="Q62" s="11" t="n">
        <f aca="false">IF(N62=0,0,P62/N62)</f>
        <v>0.491202681087669</v>
      </c>
    </row>
    <row r="63" customFormat="false" ht="15" hidden="false" customHeight="false" outlineLevel="0" collapsed="false">
      <c r="A63" s="5" t="s">
        <v>80</v>
      </c>
      <c r="B63" s="5" t="s">
        <v>81</v>
      </c>
      <c r="C63" s="5" t="s">
        <v>41</v>
      </c>
      <c r="D63" s="5" t="s">
        <v>53</v>
      </c>
      <c r="E63" s="5" t="s">
        <v>60</v>
      </c>
      <c r="F63" s="5" t="s">
        <v>46</v>
      </c>
      <c r="G63" s="5" t="s">
        <v>47</v>
      </c>
      <c r="H63" s="6" t="n">
        <v>669</v>
      </c>
      <c r="I63" s="7" t="n">
        <v>40</v>
      </c>
      <c r="J63" s="8" t="n">
        <v>0.295</v>
      </c>
      <c r="K63" s="7" t="n">
        <v>5.4</v>
      </c>
      <c r="L63" s="9" t="n">
        <f aca="false">I63*(1-J63)</f>
        <v>28.2</v>
      </c>
      <c r="M63" s="10" t="n">
        <f aca="false">H63*I63</f>
        <v>26760</v>
      </c>
      <c r="N63" s="10" t="n">
        <f aca="false">H63*L63</f>
        <v>18865.8</v>
      </c>
      <c r="O63" s="10" t="n">
        <f aca="false">H63*K63</f>
        <v>3612.6</v>
      </c>
      <c r="P63" s="10" t="n">
        <f aca="false">N63-O63</f>
        <v>15253.2</v>
      </c>
      <c r="Q63" s="11" t="n">
        <f aca="false">IF(N63=0,0,P63/N63)</f>
        <v>0.808510638297872</v>
      </c>
    </row>
    <row r="64" customFormat="false" ht="15" hidden="false" customHeight="false" outlineLevel="0" collapsed="false">
      <c r="A64" s="5" t="s">
        <v>80</v>
      </c>
      <c r="B64" s="5" t="s">
        <v>81</v>
      </c>
      <c r="C64" s="5" t="s">
        <v>41</v>
      </c>
      <c r="D64" s="5" t="s">
        <v>53</v>
      </c>
      <c r="E64" s="5" t="s">
        <v>60</v>
      </c>
      <c r="F64" s="5" t="s">
        <v>50</v>
      </c>
      <c r="G64" s="5" t="s">
        <v>51</v>
      </c>
      <c r="H64" s="6" t="n">
        <v>265</v>
      </c>
      <c r="I64" s="7" t="n">
        <v>66</v>
      </c>
      <c r="J64" s="8" t="n">
        <v>0.072</v>
      </c>
      <c r="K64" s="7" t="n">
        <v>32.4</v>
      </c>
      <c r="L64" s="9" t="n">
        <f aca="false">I64*(1-J64)</f>
        <v>61.248</v>
      </c>
      <c r="M64" s="10" t="n">
        <f aca="false">H64*I64</f>
        <v>17490</v>
      </c>
      <c r="N64" s="10" t="n">
        <f aca="false">H64*L64</f>
        <v>16230.72</v>
      </c>
      <c r="O64" s="10" t="n">
        <f aca="false">H64*K64</f>
        <v>8586</v>
      </c>
      <c r="P64" s="10" t="n">
        <f aca="false">N64-O64</f>
        <v>7644.72</v>
      </c>
      <c r="Q64" s="11" t="n">
        <f aca="false">IF(N64=0,0,P64/N64)</f>
        <v>0.471003134796238</v>
      </c>
    </row>
    <row r="65" customFormat="false" ht="15" hidden="false" customHeight="false" outlineLevel="0" collapsed="false">
      <c r="A65" s="5" t="s">
        <v>82</v>
      </c>
      <c r="B65" s="5" t="s">
        <v>81</v>
      </c>
      <c r="C65" s="5" t="s">
        <v>41</v>
      </c>
      <c r="D65" s="5" t="s">
        <v>42</v>
      </c>
      <c r="E65" s="5" t="s">
        <v>43</v>
      </c>
      <c r="F65" s="5" t="s">
        <v>44</v>
      </c>
      <c r="G65" s="5" t="s">
        <v>45</v>
      </c>
      <c r="H65" s="6" t="n">
        <v>915</v>
      </c>
      <c r="I65" s="7" t="n">
        <v>95</v>
      </c>
      <c r="J65" s="8" t="n">
        <v>0.265</v>
      </c>
      <c r="K65" s="7" t="n">
        <v>33.9</v>
      </c>
      <c r="L65" s="9" t="n">
        <f aca="false">I65*(1-J65)</f>
        <v>69.825</v>
      </c>
      <c r="M65" s="10" t="n">
        <f aca="false">H65*I65</f>
        <v>86925</v>
      </c>
      <c r="N65" s="10" t="n">
        <f aca="false">H65*L65</f>
        <v>63889.875</v>
      </c>
      <c r="O65" s="10" t="n">
        <f aca="false">H65*K65</f>
        <v>31018.5</v>
      </c>
      <c r="P65" s="10" t="n">
        <f aca="false">N65-O65</f>
        <v>32871.375</v>
      </c>
      <c r="Q65" s="11" t="n">
        <f aca="false">IF(N65=0,0,P65/N65)</f>
        <v>0.514500537056928</v>
      </c>
    </row>
    <row r="66" customFormat="false" ht="15" hidden="false" customHeight="false" outlineLevel="0" collapsed="false">
      <c r="A66" s="5" t="s">
        <v>82</v>
      </c>
      <c r="B66" s="5" t="s">
        <v>81</v>
      </c>
      <c r="C66" s="5" t="s">
        <v>41</v>
      </c>
      <c r="D66" s="5" t="s">
        <v>42</v>
      </c>
      <c r="E66" s="5" t="s">
        <v>43</v>
      </c>
      <c r="F66" s="5" t="s">
        <v>46</v>
      </c>
      <c r="G66" s="5" t="s">
        <v>47</v>
      </c>
      <c r="H66" s="6" t="n">
        <v>754</v>
      </c>
      <c r="I66" s="7" t="n">
        <v>40</v>
      </c>
      <c r="J66" s="8" t="n">
        <v>0.314</v>
      </c>
      <c r="K66" s="7" t="n">
        <v>5.7</v>
      </c>
      <c r="L66" s="9" t="n">
        <f aca="false">I66*(1-J66)</f>
        <v>27.44</v>
      </c>
      <c r="M66" s="10" t="n">
        <f aca="false">H66*I66</f>
        <v>30160</v>
      </c>
      <c r="N66" s="10" t="n">
        <f aca="false">H66*L66</f>
        <v>20689.76</v>
      </c>
      <c r="O66" s="10" t="n">
        <f aca="false">H66*K66</f>
        <v>4297.8</v>
      </c>
      <c r="P66" s="10" t="n">
        <f aca="false">N66-O66</f>
        <v>16391.96</v>
      </c>
      <c r="Q66" s="11" t="n">
        <f aca="false">IF(N66=0,0,P66/N66)</f>
        <v>0.792274052478134</v>
      </c>
    </row>
    <row r="67" customFormat="false" ht="15" hidden="false" customHeight="false" outlineLevel="0" collapsed="false">
      <c r="A67" s="5" t="s">
        <v>82</v>
      </c>
      <c r="B67" s="5" t="s">
        <v>81</v>
      </c>
      <c r="C67" s="5" t="s">
        <v>41</v>
      </c>
      <c r="D67" s="5" t="s">
        <v>42</v>
      </c>
      <c r="E67" s="5" t="s">
        <v>43</v>
      </c>
      <c r="F67" s="5" t="s">
        <v>48</v>
      </c>
      <c r="G67" s="5" t="s">
        <v>49</v>
      </c>
      <c r="H67" s="6" t="n">
        <v>119</v>
      </c>
      <c r="I67" s="7" t="n">
        <v>180</v>
      </c>
      <c r="J67" s="8" t="n">
        <v>0.102</v>
      </c>
      <c r="K67" s="7" t="n">
        <v>142.7</v>
      </c>
      <c r="L67" s="9" t="n">
        <f aca="false">I67*(1-J67)</f>
        <v>161.64</v>
      </c>
      <c r="M67" s="10" t="n">
        <f aca="false">H67*I67</f>
        <v>21420</v>
      </c>
      <c r="N67" s="10" t="n">
        <f aca="false">H67*L67</f>
        <v>19235.16</v>
      </c>
      <c r="O67" s="10" t="n">
        <f aca="false">H67*K67</f>
        <v>16981.3</v>
      </c>
      <c r="P67" s="10" t="n">
        <f aca="false">N67-O67</f>
        <v>2253.86</v>
      </c>
      <c r="Q67" s="11" t="n">
        <f aca="false">IF(N67=0,0,P67/N67)</f>
        <v>0.117173966839891</v>
      </c>
    </row>
    <row r="68" customFormat="false" ht="15" hidden="false" customHeight="false" outlineLevel="0" collapsed="false">
      <c r="A68" s="5" t="s">
        <v>82</v>
      </c>
      <c r="B68" s="5" t="s">
        <v>81</v>
      </c>
      <c r="C68" s="5" t="s">
        <v>41</v>
      </c>
      <c r="D68" s="5" t="s">
        <v>42</v>
      </c>
      <c r="E68" s="5" t="s">
        <v>43</v>
      </c>
      <c r="F68" s="5" t="s">
        <v>50</v>
      </c>
      <c r="G68" s="5" t="s">
        <v>51</v>
      </c>
      <c r="H68" s="6" t="n">
        <v>305</v>
      </c>
      <c r="I68" s="7" t="n">
        <v>66</v>
      </c>
      <c r="J68" s="8" t="n">
        <v>0.106</v>
      </c>
      <c r="K68" s="7" t="n">
        <v>33.6</v>
      </c>
      <c r="L68" s="9" t="n">
        <f aca="false">I68*(1-J68)</f>
        <v>59.004</v>
      </c>
      <c r="M68" s="10" t="n">
        <f aca="false">H68*I68</f>
        <v>20130</v>
      </c>
      <c r="N68" s="10" t="n">
        <f aca="false">H68*L68</f>
        <v>17996.22</v>
      </c>
      <c r="O68" s="10" t="n">
        <f aca="false">H68*K68</f>
        <v>10248</v>
      </c>
      <c r="P68" s="10" t="n">
        <f aca="false">N68-O68</f>
        <v>7748.22</v>
      </c>
      <c r="Q68" s="11" t="n">
        <f aca="false">IF(N68=0,0,P68/N68)</f>
        <v>0.430547081553793</v>
      </c>
    </row>
    <row r="69" customFormat="false" ht="15" hidden="false" customHeight="false" outlineLevel="0" collapsed="false">
      <c r="A69" s="5" t="s">
        <v>83</v>
      </c>
      <c r="B69" s="5" t="s">
        <v>81</v>
      </c>
      <c r="C69" s="5" t="s">
        <v>41</v>
      </c>
      <c r="D69" s="5" t="s">
        <v>84</v>
      </c>
      <c r="E69" s="5" t="s">
        <v>60</v>
      </c>
      <c r="F69" s="5" t="s">
        <v>44</v>
      </c>
      <c r="G69" s="5" t="s">
        <v>45</v>
      </c>
      <c r="H69" s="6" t="n">
        <v>651</v>
      </c>
      <c r="I69" s="7" t="n">
        <v>95</v>
      </c>
      <c r="J69" s="8" t="n">
        <v>0.287</v>
      </c>
      <c r="K69" s="7" t="n">
        <v>33.4</v>
      </c>
      <c r="L69" s="9" t="n">
        <f aca="false">I69*(1-J69)</f>
        <v>67.735</v>
      </c>
      <c r="M69" s="10" t="n">
        <f aca="false">H69*I69</f>
        <v>61845</v>
      </c>
      <c r="N69" s="10" t="n">
        <f aca="false">H69*L69</f>
        <v>44095.485</v>
      </c>
      <c r="O69" s="10" t="n">
        <f aca="false">H69*K69</f>
        <v>21743.4</v>
      </c>
      <c r="P69" s="10" t="n">
        <f aca="false">N69-O69</f>
        <v>22352.085</v>
      </c>
      <c r="Q69" s="11" t="n">
        <f aca="false">IF(N69=0,0,P69/N69)</f>
        <v>0.506901897098989</v>
      </c>
    </row>
    <row r="70" customFormat="false" ht="15" hidden="false" customHeight="false" outlineLevel="0" collapsed="false">
      <c r="A70" s="5" t="s">
        <v>83</v>
      </c>
      <c r="B70" s="5" t="s">
        <v>81</v>
      </c>
      <c r="C70" s="5" t="s">
        <v>41</v>
      </c>
      <c r="D70" s="5" t="s">
        <v>84</v>
      </c>
      <c r="E70" s="5" t="s">
        <v>60</v>
      </c>
      <c r="F70" s="5" t="s">
        <v>46</v>
      </c>
      <c r="G70" s="5" t="s">
        <v>47</v>
      </c>
      <c r="H70" s="6" t="n">
        <v>552</v>
      </c>
      <c r="I70" s="7" t="n">
        <v>40</v>
      </c>
      <c r="J70" s="8" t="n">
        <v>0.279</v>
      </c>
      <c r="K70" s="7" t="n">
        <v>5.6</v>
      </c>
      <c r="L70" s="9" t="n">
        <f aca="false">I70*(1-J70)</f>
        <v>28.84</v>
      </c>
      <c r="M70" s="10" t="n">
        <f aca="false">H70*I70</f>
        <v>22080</v>
      </c>
      <c r="N70" s="10" t="n">
        <f aca="false">H70*L70</f>
        <v>15919.68</v>
      </c>
      <c r="O70" s="10" t="n">
        <f aca="false">H70*K70</f>
        <v>3091.2</v>
      </c>
      <c r="P70" s="10" t="n">
        <f aca="false">N70-O70</f>
        <v>12828.48</v>
      </c>
      <c r="Q70" s="11" t="n">
        <f aca="false">IF(N70=0,0,P70/N70)</f>
        <v>0.805825242718447</v>
      </c>
    </row>
    <row r="71" customFormat="false" ht="15" hidden="false" customHeight="false" outlineLevel="0" collapsed="false">
      <c r="A71" s="5" t="s">
        <v>83</v>
      </c>
      <c r="B71" s="5" t="s">
        <v>81</v>
      </c>
      <c r="C71" s="5" t="s">
        <v>41</v>
      </c>
      <c r="D71" s="5" t="s">
        <v>84</v>
      </c>
      <c r="E71" s="5" t="s">
        <v>60</v>
      </c>
      <c r="F71" s="5" t="s">
        <v>50</v>
      </c>
      <c r="G71" s="5" t="s">
        <v>51</v>
      </c>
      <c r="H71" s="6" t="n">
        <v>217</v>
      </c>
      <c r="I71" s="7" t="n">
        <v>66</v>
      </c>
      <c r="J71" s="8" t="n">
        <v>0.11</v>
      </c>
      <c r="K71" s="7" t="n">
        <v>33</v>
      </c>
      <c r="L71" s="9" t="n">
        <f aca="false">I71*(1-J71)</f>
        <v>58.74</v>
      </c>
      <c r="M71" s="10" t="n">
        <f aca="false">H71*I71</f>
        <v>14322</v>
      </c>
      <c r="N71" s="10" t="n">
        <f aca="false">H71*L71</f>
        <v>12746.58</v>
      </c>
      <c r="O71" s="10" t="n">
        <f aca="false">H71*K71</f>
        <v>7161</v>
      </c>
      <c r="P71" s="10" t="n">
        <f aca="false">N71-O71</f>
        <v>5585.58</v>
      </c>
      <c r="Q71" s="11" t="n">
        <f aca="false">IF(N71=0,0,P71/N71)</f>
        <v>0.438202247191011</v>
      </c>
    </row>
    <row r="72" customFormat="false" ht="15" hidden="false" customHeight="false" outlineLevel="0" collapsed="false">
      <c r="A72" s="5" t="s">
        <v>85</v>
      </c>
      <c r="B72" s="5" t="s">
        <v>81</v>
      </c>
      <c r="C72" s="5" t="s">
        <v>41</v>
      </c>
      <c r="D72" s="5" t="s">
        <v>42</v>
      </c>
      <c r="E72" s="5" t="s">
        <v>54</v>
      </c>
      <c r="F72" s="5" t="s">
        <v>44</v>
      </c>
      <c r="G72" s="5" t="s">
        <v>45</v>
      </c>
      <c r="H72" s="6" t="n">
        <v>390</v>
      </c>
      <c r="I72" s="7" t="n">
        <v>95</v>
      </c>
      <c r="J72" s="8" t="n">
        <v>0.301</v>
      </c>
      <c r="K72" s="7" t="n">
        <v>34.2</v>
      </c>
      <c r="L72" s="9" t="n">
        <f aca="false">I72*(1-J72)</f>
        <v>66.405</v>
      </c>
      <c r="M72" s="10" t="n">
        <f aca="false">H72*I72</f>
        <v>37050</v>
      </c>
      <c r="N72" s="10" t="n">
        <f aca="false">H72*L72</f>
        <v>25897.95</v>
      </c>
      <c r="O72" s="10" t="n">
        <f aca="false">H72*K72</f>
        <v>13338</v>
      </c>
      <c r="P72" s="10" t="n">
        <f aca="false">N72-O72</f>
        <v>12559.95</v>
      </c>
      <c r="Q72" s="11" t="n">
        <f aca="false">IF(N72=0,0,P72/N72)</f>
        <v>0.484978540772532</v>
      </c>
    </row>
    <row r="73" customFormat="false" ht="15" hidden="false" customHeight="false" outlineLevel="0" collapsed="false">
      <c r="A73" s="5" t="s">
        <v>85</v>
      </c>
      <c r="B73" s="5" t="s">
        <v>81</v>
      </c>
      <c r="C73" s="5" t="s">
        <v>41</v>
      </c>
      <c r="D73" s="5" t="s">
        <v>42</v>
      </c>
      <c r="E73" s="5" t="s">
        <v>54</v>
      </c>
      <c r="F73" s="5" t="s">
        <v>46</v>
      </c>
      <c r="G73" s="5" t="s">
        <v>47</v>
      </c>
      <c r="H73" s="6" t="n">
        <v>297</v>
      </c>
      <c r="I73" s="7" t="n">
        <v>40</v>
      </c>
      <c r="J73" s="8" t="n">
        <v>0.31</v>
      </c>
      <c r="K73" s="7" t="n">
        <v>5.7</v>
      </c>
      <c r="L73" s="9" t="n">
        <f aca="false">I73*(1-J73)</f>
        <v>27.6</v>
      </c>
      <c r="M73" s="10" t="n">
        <f aca="false">H73*I73</f>
        <v>11880</v>
      </c>
      <c r="N73" s="10" t="n">
        <f aca="false">H73*L73</f>
        <v>8197.2</v>
      </c>
      <c r="O73" s="10" t="n">
        <f aca="false">H73*K73</f>
        <v>1692.9</v>
      </c>
      <c r="P73" s="10" t="n">
        <f aca="false">N73-O73</f>
        <v>6504.3</v>
      </c>
      <c r="Q73" s="11" t="n">
        <f aca="false">IF(N73=0,0,P73/N73)</f>
        <v>0.793478260869565</v>
      </c>
    </row>
    <row r="74" customFormat="false" ht="15" hidden="false" customHeight="false" outlineLevel="0" collapsed="false">
      <c r="A74" s="5" t="s">
        <v>85</v>
      </c>
      <c r="B74" s="5" t="s">
        <v>81</v>
      </c>
      <c r="C74" s="5" t="s">
        <v>41</v>
      </c>
      <c r="D74" s="5" t="s">
        <v>42</v>
      </c>
      <c r="E74" s="5" t="s">
        <v>54</v>
      </c>
      <c r="F74" s="5" t="s">
        <v>48</v>
      </c>
      <c r="G74" s="5" t="s">
        <v>49</v>
      </c>
      <c r="H74" s="6" t="n">
        <v>70</v>
      </c>
      <c r="I74" s="7" t="n">
        <v>180</v>
      </c>
      <c r="J74" s="8" t="n">
        <v>0.106</v>
      </c>
      <c r="K74" s="7" t="n">
        <v>140.3</v>
      </c>
      <c r="L74" s="9" t="n">
        <f aca="false">I74*(1-J74)</f>
        <v>160.92</v>
      </c>
      <c r="M74" s="10" t="n">
        <f aca="false">H74*I74</f>
        <v>12600</v>
      </c>
      <c r="N74" s="10" t="n">
        <f aca="false">H74*L74</f>
        <v>11264.4</v>
      </c>
      <c r="O74" s="10" t="n">
        <f aca="false">H74*K74</f>
        <v>9821</v>
      </c>
      <c r="P74" s="10" t="n">
        <f aca="false">N74-O74</f>
        <v>1443.4</v>
      </c>
      <c r="Q74" s="11" t="n">
        <f aca="false">IF(N74=0,0,P74/N74)</f>
        <v>0.128138205319413</v>
      </c>
    </row>
    <row r="75" customFormat="false" ht="15" hidden="false" customHeight="false" outlineLevel="0" collapsed="false">
      <c r="A75" s="5" t="s">
        <v>85</v>
      </c>
      <c r="B75" s="5" t="s">
        <v>81</v>
      </c>
      <c r="C75" s="5" t="s">
        <v>41</v>
      </c>
      <c r="D75" s="5" t="s">
        <v>42</v>
      </c>
      <c r="E75" s="5" t="s">
        <v>54</v>
      </c>
      <c r="F75" s="5" t="s">
        <v>50</v>
      </c>
      <c r="G75" s="5" t="s">
        <v>51</v>
      </c>
      <c r="H75" s="6" t="n">
        <v>130</v>
      </c>
      <c r="I75" s="7" t="n">
        <v>66</v>
      </c>
      <c r="J75" s="8" t="n">
        <v>0.094</v>
      </c>
      <c r="K75" s="7" t="n">
        <v>32.4</v>
      </c>
      <c r="L75" s="9" t="n">
        <f aca="false">I75*(1-J75)</f>
        <v>59.796</v>
      </c>
      <c r="M75" s="10" t="n">
        <f aca="false">H75*I75</f>
        <v>8580</v>
      </c>
      <c r="N75" s="10" t="n">
        <f aca="false">H75*L75</f>
        <v>7773.48</v>
      </c>
      <c r="O75" s="10" t="n">
        <f aca="false">H75*K75</f>
        <v>4212</v>
      </c>
      <c r="P75" s="10" t="n">
        <f aca="false">N75-O75</f>
        <v>3561.48</v>
      </c>
      <c r="Q75" s="11" t="n">
        <f aca="false">IF(N75=0,0,P75/N75)</f>
        <v>0.458157736303432</v>
      </c>
    </row>
    <row r="76" customFormat="false" ht="15" hidden="false" customHeight="false" outlineLevel="0" collapsed="false">
      <c r="A76" s="5" t="s">
        <v>86</v>
      </c>
      <c r="B76" s="5" t="s">
        <v>81</v>
      </c>
      <c r="C76" s="5" t="s">
        <v>58</v>
      </c>
      <c r="D76" s="5" t="s">
        <v>63</v>
      </c>
      <c r="E76" s="5" t="s">
        <v>43</v>
      </c>
      <c r="F76" s="5" t="s">
        <v>44</v>
      </c>
      <c r="G76" s="5" t="s">
        <v>45</v>
      </c>
      <c r="H76" s="6" t="n">
        <v>1035</v>
      </c>
      <c r="I76" s="7" t="n">
        <v>95</v>
      </c>
      <c r="J76" s="8" t="n">
        <v>0.291</v>
      </c>
      <c r="K76" s="7" t="n">
        <v>34.9</v>
      </c>
      <c r="L76" s="9" t="n">
        <f aca="false">I76*(1-J76)</f>
        <v>67.355</v>
      </c>
      <c r="M76" s="10" t="n">
        <f aca="false">H76*I76</f>
        <v>98325</v>
      </c>
      <c r="N76" s="10" t="n">
        <f aca="false">H76*L76</f>
        <v>69712.425</v>
      </c>
      <c r="O76" s="10" t="n">
        <f aca="false">H76*K76</f>
        <v>36121.5</v>
      </c>
      <c r="P76" s="10" t="n">
        <f aca="false">N76-O76</f>
        <v>33590.925</v>
      </c>
      <c r="Q76" s="11" t="n">
        <f aca="false">IF(N76=0,0,P76/N76)</f>
        <v>0.481849899784723</v>
      </c>
    </row>
    <row r="77" customFormat="false" ht="15" hidden="false" customHeight="false" outlineLevel="0" collapsed="false">
      <c r="A77" s="5" t="s">
        <v>86</v>
      </c>
      <c r="B77" s="5" t="s">
        <v>81</v>
      </c>
      <c r="C77" s="5" t="s">
        <v>58</v>
      </c>
      <c r="D77" s="5" t="s">
        <v>63</v>
      </c>
      <c r="E77" s="5" t="s">
        <v>43</v>
      </c>
      <c r="F77" s="5" t="s">
        <v>46</v>
      </c>
      <c r="G77" s="5" t="s">
        <v>47</v>
      </c>
      <c r="H77" s="6" t="n">
        <v>775</v>
      </c>
      <c r="I77" s="7" t="n">
        <v>40</v>
      </c>
      <c r="J77" s="8" t="n">
        <v>0.334</v>
      </c>
      <c r="K77" s="7" t="n">
        <v>5.6</v>
      </c>
      <c r="L77" s="9" t="n">
        <f aca="false">I77*(1-J77)</f>
        <v>26.64</v>
      </c>
      <c r="M77" s="10" t="n">
        <f aca="false">H77*I77</f>
        <v>31000</v>
      </c>
      <c r="N77" s="10" t="n">
        <f aca="false">H77*L77</f>
        <v>20646</v>
      </c>
      <c r="O77" s="10" t="n">
        <f aca="false">H77*K77</f>
        <v>4340</v>
      </c>
      <c r="P77" s="10" t="n">
        <f aca="false">N77-O77</f>
        <v>16306</v>
      </c>
      <c r="Q77" s="11" t="n">
        <f aca="false">IF(N77=0,0,P77/N77)</f>
        <v>0.78978978978979</v>
      </c>
    </row>
    <row r="78" customFormat="false" ht="15" hidden="false" customHeight="false" outlineLevel="0" collapsed="false">
      <c r="A78" s="5" t="s">
        <v>86</v>
      </c>
      <c r="B78" s="5" t="s">
        <v>81</v>
      </c>
      <c r="C78" s="5" t="s">
        <v>58</v>
      </c>
      <c r="D78" s="5" t="s">
        <v>63</v>
      </c>
      <c r="E78" s="5" t="s">
        <v>43</v>
      </c>
      <c r="F78" s="5" t="s">
        <v>48</v>
      </c>
      <c r="G78" s="5" t="s">
        <v>49</v>
      </c>
      <c r="H78" s="6" t="n">
        <v>133</v>
      </c>
      <c r="I78" s="7" t="n">
        <v>180</v>
      </c>
      <c r="J78" s="8" t="n">
        <v>0.094</v>
      </c>
      <c r="K78" s="7" t="n">
        <v>142.5</v>
      </c>
      <c r="L78" s="9" t="n">
        <f aca="false">I78*(1-J78)</f>
        <v>163.08</v>
      </c>
      <c r="M78" s="10" t="n">
        <f aca="false">H78*I78</f>
        <v>23940</v>
      </c>
      <c r="N78" s="10" t="n">
        <f aca="false">H78*L78</f>
        <v>21689.64</v>
      </c>
      <c r="O78" s="10" t="n">
        <f aca="false">H78*K78</f>
        <v>18952.5</v>
      </c>
      <c r="P78" s="10" t="n">
        <f aca="false">N78-O78</f>
        <v>2737.14</v>
      </c>
      <c r="Q78" s="11" t="n">
        <f aca="false">IF(N78=0,0,P78/N78)</f>
        <v>0.126195732155997</v>
      </c>
    </row>
    <row r="79" customFormat="false" ht="15" hidden="false" customHeight="false" outlineLevel="0" collapsed="false">
      <c r="A79" s="5" t="s">
        <v>86</v>
      </c>
      <c r="B79" s="5" t="s">
        <v>81</v>
      </c>
      <c r="C79" s="5" t="s">
        <v>58</v>
      </c>
      <c r="D79" s="5" t="s">
        <v>63</v>
      </c>
      <c r="E79" s="5" t="s">
        <v>43</v>
      </c>
      <c r="F79" s="5" t="s">
        <v>50</v>
      </c>
      <c r="G79" s="5" t="s">
        <v>51</v>
      </c>
      <c r="H79" s="6" t="n">
        <v>345</v>
      </c>
      <c r="I79" s="7" t="n">
        <v>66</v>
      </c>
      <c r="J79" s="8" t="n">
        <v>0.073</v>
      </c>
      <c r="K79" s="7" t="n">
        <v>32.8</v>
      </c>
      <c r="L79" s="9" t="n">
        <f aca="false">I79*(1-J79)</f>
        <v>61.182</v>
      </c>
      <c r="M79" s="10" t="n">
        <f aca="false">H79*I79</f>
        <v>22770</v>
      </c>
      <c r="N79" s="10" t="n">
        <f aca="false">H79*L79</f>
        <v>21107.79</v>
      </c>
      <c r="O79" s="10" t="n">
        <f aca="false">H79*K79</f>
        <v>11316</v>
      </c>
      <c r="P79" s="10" t="n">
        <f aca="false">N79-O79</f>
        <v>9791.79</v>
      </c>
      <c r="Q79" s="11" t="n">
        <f aca="false">IF(N79=0,0,P79/N79)</f>
        <v>0.463894609525678</v>
      </c>
    </row>
    <row r="80" customFormat="false" ht="15" hidden="false" customHeight="false" outlineLevel="0" collapsed="false">
      <c r="A80" s="5" t="s">
        <v>87</v>
      </c>
      <c r="B80" s="5" t="s">
        <v>81</v>
      </c>
      <c r="C80" s="5" t="s">
        <v>58</v>
      </c>
      <c r="D80" s="5" t="s">
        <v>59</v>
      </c>
      <c r="E80" s="5" t="s">
        <v>60</v>
      </c>
      <c r="F80" s="5" t="s">
        <v>44</v>
      </c>
      <c r="G80" s="5" t="s">
        <v>45</v>
      </c>
      <c r="H80" s="6" t="n">
        <v>489</v>
      </c>
      <c r="I80" s="7" t="n">
        <v>95</v>
      </c>
      <c r="J80" s="8" t="n">
        <v>0.262</v>
      </c>
      <c r="K80" s="7" t="n">
        <v>35</v>
      </c>
      <c r="L80" s="9" t="n">
        <f aca="false">I80*(1-J80)</f>
        <v>70.11</v>
      </c>
      <c r="M80" s="10" t="n">
        <f aca="false">H80*I80</f>
        <v>46455</v>
      </c>
      <c r="N80" s="10" t="n">
        <f aca="false">H80*L80</f>
        <v>34283.79</v>
      </c>
      <c r="O80" s="10" t="n">
        <f aca="false">H80*K80</f>
        <v>17115</v>
      </c>
      <c r="P80" s="10" t="n">
        <f aca="false">N80-O80</f>
        <v>17168.79</v>
      </c>
      <c r="Q80" s="11" t="n">
        <f aca="false">IF(N80=0,0,P80/N80)</f>
        <v>0.500784481529026</v>
      </c>
    </row>
    <row r="81" customFormat="false" ht="15" hidden="false" customHeight="false" outlineLevel="0" collapsed="false">
      <c r="A81" s="5" t="s">
        <v>87</v>
      </c>
      <c r="B81" s="5" t="s">
        <v>81</v>
      </c>
      <c r="C81" s="5" t="s">
        <v>58</v>
      </c>
      <c r="D81" s="5" t="s">
        <v>59</v>
      </c>
      <c r="E81" s="5" t="s">
        <v>60</v>
      </c>
      <c r="F81" s="5" t="s">
        <v>46</v>
      </c>
      <c r="G81" s="5" t="s">
        <v>47</v>
      </c>
      <c r="H81" s="6" t="n">
        <v>368</v>
      </c>
      <c r="I81" s="7" t="n">
        <v>40</v>
      </c>
      <c r="J81" s="8" t="n">
        <v>0.289</v>
      </c>
      <c r="K81" s="7" t="n">
        <v>5.6</v>
      </c>
      <c r="L81" s="9" t="n">
        <f aca="false">I81*(1-J81)</f>
        <v>28.44</v>
      </c>
      <c r="M81" s="10" t="n">
        <f aca="false">H81*I81</f>
        <v>14720</v>
      </c>
      <c r="N81" s="10" t="n">
        <f aca="false">H81*L81</f>
        <v>10465.92</v>
      </c>
      <c r="O81" s="10" t="n">
        <f aca="false">H81*K81</f>
        <v>2060.8</v>
      </c>
      <c r="P81" s="10" t="n">
        <f aca="false">N81-O81</f>
        <v>8405.12</v>
      </c>
      <c r="Q81" s="11" t="n">
        <f aca="false">IF(N81=0,0,P81/N81)</f>
        <v>0.803094233473981</v>
      </c>
    </row>
    <row r="82" customFormat="false" ht="15" hidden="false" customHeight="false" outlineLevel="0" collapsed="false">
      <c r="A82" s="5" t="s">
        <v>87</v>
      </c>
      <c r="B82" s="5" t="s">
        <v>81</v>
      </c>
      <c r="C82" s="5" t="s">
        <v>58</v>
      </c>
      <c r="D82" s="5" t="s">
        <v>59</v>
      </c>
      <c r="E82" s="5" t="s">
        <v>60</v>
      </c>
      <c r="F82" s="5" t="s">
        <v>50</v>
      </c>
      <c r="G82" s="5" t="s">
        <v>51</v>
      </c>
      <c r="H82" s="6" t="n">
        <v>163</v>
      </c>
      <c r="I82" s="7" t="n">
        <v>66</v>
      </c>
      <c r="J82" s="8" t="n">
        <v>0.09</v>
      </c>
      <c r="K82" s="7" t="n">
        <v>32.9</v>
      </c>
      <c r="L82" s="9" t="n">
        <f aca="false">I82*(1-J82)</f>
        <v>60.06</v>
      </c>
      <c r="M82" s="10" t="n">
        <f aca="false">H82*I82</f>
        <v>10758</v>
      </c>
      <c r="N82" s="10" t="n">
        <f aca="false">H82*L82</f>
        <v>9789.78</v>
      </c>
      <c r="O82" s="10" t="n">
        <f aca="false">H82*K82</f>
        <v>5362.7</v>
      </c>
      <c r="P82" s="10" t="n">
        <f aca="false">N82-O82</f>
        <v>4427.08</v>
      </c>
      <c r="Q82" s="11" t="n">
        <f aca="false">IF(N82=0,0,P82/N82)</f>
        <v>0.452214452214452</v>
      </c>
    </row>
    <row r="83" customFormat="false" ht="15" hidden="false" customHeight="false" outlineLevel="0" collapsed="false">
      <c r="A83" s="5" t="s">
        <v>88</v>
      </c>
      <c r="B83" s="5" t="s">
        <v>81</v>
      </c>
      <c r="C83" s="5" t="s">
        <v>58</v>
      </c>
      <c r="D83" s="5" t="s">
        <v>63</v>
      </c>
      <c r="E83" s="5" t="s">
        <v>43</v>
      </c>
      <c r="F83" s="5" t="s">
        <v>44</v>
      </c>
      <c r="G83" s="5" t="s">
        <v>45</v>
      </c>
      <c r="H83" s="6" t="n">
        <v>981</v>
      </c>
      <c r="I83" s="7" t="n">
        <v>95</v>
      </c>
      <c r="J83" s="8" t="n">
        <v>0.275</v>
      </c>
      <c r="K83" s="7" t="n">
        <v>33.4</v>
      </c>
      <c r="L83" s="9" t="n">
        <f aca="false">I83*(1-J83)</f>
        <v>68.875</v>
      </c>
      <c r="M83" s="10" t="n">
        <f aca="false">H83*I83</f>
        <v>93195</v>
      </c>
      <c r="N83" s="10" t="n">
        <f aca="false">H83*L83</f>
        <v>67566.375</v>
      </c>
      <c r="O83" s="10" t="n">
        <f aca="false">H83*K83</f>
        <v>32765.4</v>
      </c>
      <c r="P83" s="10" t="n">
        <f aca="false">N83-O83</f>
        <v>34800.975</v>
      </c>
      <c r="Q83" s="11" t="n">
        <f aca="false">IF(N83=0,0,P83/N83)</f>
        <v>0.515063520871144</v>
      </c>
    </row>
    <row r="84" customFormat="false" ht="15" hidden="false" customHeight="false" outlineLevel="0" collapsed="false">
      <c r="A84" s="5" t="s">
        <v>88</v>
      </c>
      <c r="B84" s="5" t="s">
        <v>81</v>
      </c>
      <c r="C84" s="5" t="s">
        <v>58</v>
      </c>
      <c r="D84" s="5" t="s">
        <v>63</v>
      </c>
      <c r="E84" s="5" t="s">
        <v>43</v>
      </c>
      <c r="F84" s="5" t="s">
        <v>46</v>
      </c>
      <c r="G84" s="5" t="s">
        <v>47</v>
      </c>
      <c r="H84" s="6" t="n">
        <v>807</v>
      </c>
      <c r="I84" s="7" t="n">
        <v>40</v>
      </c>
      <c r="J84" s="8" t="n">
        <v>0.349</v>
      </c>
      <c r="K84" s="7" t="n">
        <v>5.6</v>
      </c>
      <c r="L84" s="9" t="n">
        <f aca="false">I84*(1-J84)</f>
        <v>26.04</v>
      </c>
      <c r="M84" s="10" t="n">
        <f aca="false">H84*I84</f>
        <v>32280</v>
      </c>
      <c r="N84" s="10" t="n">
        <f aca="false">H84*L84</f>
        <v>21014.28</v>
      </c>
      <c r="O84" s="10" t="n">
        <f aca="false">H84*K84</f>
        <v>4519.2</v>
      </c>
      <c r="P84" s="10" t="n">
        <f aca="false">N84-O84</f>
        <v>16495.08</v>
      </c>
      <c r="Q84" s="11" t="n">
        <f aca="false">IF(N84=0,0,P84/N84)</f>
        <v>0.78494623655914</v>
      </c>
    </row>
    <row r="85" customFormat="false" ht="15" hidden="false" customHeight="false" outlineLevel="0" collapsed="false">
      <c r="A85" s="5" t="s">
        <v>88</v>
      </c>
      <c r="B85" s="5" t="s">
        <v>81</v>
      </c>
      <c r="C85" s="5" t="s">
        <v>58</v>
      </c>
      <c r="D85" s="5" t="s">
        <v>63</v>
      </c>
      <c r="E85" s="5" t="s">
        <v>43</v>
      </c>
      <c r="F85" s="5" t="s">
        <v>48</v>
      </c>
      <c r="G85" s="5" t="s">
        <v>49</v>
      </c>
      <c r="H85" s="6" t="n">
        <v>132</v>
      </c>
      <c r="I85" s="7" t="n">
        <v>180</v>
      </c>
      <c r="J85" s="8" t="n">
        <v>0.094</v>
      </c>
      <c r="K85" s="7" t="n">
        <v>138</v>
      </c>
      <c r="L85" s="9" t="n">
        <f aca="false">I85*(1-J85)</f>
        <v>163.08</v>
      </c>
      <c r="M85" s="10" t="n">
        <f aca="false">H85*I85</f>
        <v>23760</v>
      </c>
      <c r="N85" s="10" t="n">
        <f aca="false">H85*L85</f>
        <v>21526.56</v>
      </c>
      <c r="O85" s="10" t="n">
        <f aca="false">H85*K85</f>
        <v>18216</v>
      </c>
      <c r="P85" s="10" t="n">
        <f aca="false">N85-O85</f>
        <v>3310.56</v>
      </c>
      <c r="Q85" s="11" t="n">
        <f aca="false">IF(N85=0,0,P85/N85)</f>
        <v>0.153789551140545</v>
      </c>
    </row>
    <row r="86" customFormat="false" ht="15" hidden="false" customHeight="false" outlineLevel="0" collapsed="false">
      <c r="A86" s="5" t="s">
        <v>88</v>
      </c>
      <c r="B86" s="5" t="s">
        <v>81</v>
      </c>
      <c r="C86" s="5" t="s">
        <v>58</v>
      </c>
      <c r="D86" s="5" t="s">
        <v>63</v>
      </c>
      <c r="E86" s="5" t="s">
        <v>43</v>
      </c>
      <c r="F86" s="5" t="s">
        <v>50</v>
      </c>
      <c r="G86" s="5" t="s">
        <v>51</v>
      </c>
      <c r="H86" s="6" t="n">
        <v>327</v>
      </c>
      <c r="I86" s="7" t="n">
        <v>66</v>
      </c>
      <c r="J86" s="8" t="n">
        <v>0.115</v>
      </c>
      <c r="K86" s="7" t="n">
        <v>32.1</v>
      </c>
      <c r="L86" s="9" t="n">
        <f aca="false">I86*(1-J86)</f>
        <v>58.41</v>
      </c>
      <c r="M86" s="10" t="n">
        <f aca="false">H86*I86</f>
        <v>21582</v>
      </c>
      <c r="N86" s="10" t="n">
        <f aca="false">H86*L86</f>
        <v>19100.07</v>
      </c>
      <c r="O86" s="10" t="n">
        <f aca="false">H86*K86</f>
        <v>10496.7</v>
      </c>
      <c r="P86" s="10" t="n">
        <f aca="false">N86-O86</f>
        <v>8603.37</v>
      </c>
      <c r="Q86" s="11" t="n">
        <f aca="false">IF(N86=0,0,P86/N86)</f>
        <v>0.450436569080637</v>
      </c>
    </row>
    <row r="87" customFormat="false" ht="15" hidden="false" customHeight="false" outlineLevel="0" collapsed="false">
      <c r="A87" s="5" t="s">
        <v>89</v>
      </c>
      <c r="B87" s="5" t="s">
        <v>81</v>
      </c>
      <c r="C87" s="5" t="s">
        <v>58</v>
      </c>
      <c r="D87" s="5" t="s">
        <v>59</v>
      </c>
      <c r="E87" s="5" t="s">
        <v>43</v>
      </c>
      <c r="F87" s="5" t="s">
        <v>44</v>
      </c>
      <c r="G87" s="5" t="s">
        <v>45</v>
      </c>
      <c r="H87" s="6" t="n">
        <v>717</v>
      </c>
      <c r="I87" s="7" t="n">
        <v>95</v>
      </c>
      <c r="J87" s="8" t="n">
        <v>0.256</v>
      </c>
      <c r="K87" s="7" t="n">
        <v>34.3</v>
      </c>
      <c r="L87" s="9" t="n">
        <f aca="false">I87*(1-J87)</f>
        <v>70.68</v>
      </c>
      <c r="M87" s="10" t="n">
        <f aca="false">H87*I87</f>
        <v>68115</v>
      </c>
      <c r="N87" s="10" t="n">
        <f aca="false">H87*L87</f>
        <v>50677.56</v>
      </c>
      <c r="O87" s="10" t="n">
        <f aca="false">H87*K87</f>
        <v>24593.1</v>
      </c>
      <c r="P87" s="10" t="n">
        <f aca="false">N87-O87</f>
        <v>26084.46</v>
      </c>
      <c r="Q87" s="11" t="n">
        <f aca="false">IF(N87=0,0,P87/N87)</f>
        <v>0.514714204867006</v>
      </c>
    </row>
    <row r="88" customFormat="false" ht="15" hidden="false" customHeight="false" outlineLevel="0" collapsed="false">
      <c r="A88" s="5" t="s">
        <v>89</v>
      </c>
      <c r="B88" s="5" t="s">
        <v>81</v>
      </c>
      <c r="C88" s="5" t="s">
        <v>58</v>
      </c>
      <c r="D88" s="5" t="s">
        <v>59</v>
      </c>
      <c r="E88" s="5" t="s">
        <v>43</v>
      </c>
      <c r="F88" s="5" t="s">
        <v>46</v>
      </c>
      <c r="G88" s="5" t="s">
        <v>47</v>
      </c>
      <c r="H88" s="6" t="n">
        <v>575</v>
      </c>
      <c r="I88" s="7" t="n">
        <v>40</v>
      </c>
      <c r="J88" s="8" t="n">
        <v>0.349</v>
      </c>
      <c r="K88" s="7" t="n">
        <v>5.7</v>
      </c>
      <c r="L88" s="9" t="n">
        <f aca="false">I88*(1-J88)</f>
        <v>26.04</v>
      </c>
      <c r="M88" s="10" t="n">
        <f aca="false">H88*I88</f>
        <v>23000</v>
      </c>
      <c r="N88" s="10" t="n">
        <f aca="false">H88*L88</f>
        <v>14973</v>
      </c>
      <c r="O88" s="10" t="n">
        <f aca="false">H88*K88</f>
        <v>3277.5</v>
      </c>
      <c r="P88" s="10" t="n">
        <f aca="false">N88-O88</f>
        <v>11695.5</v>
      </c>
      <c r="Q88" s="11" t="n">
        <f aca="false">IF(N88=0,0,P88/N88)</f>
        <v>0.78110599078341</v>
      </c>
    </row>
    <row r="89" customFormat="false" ht="15" hidden="false" customHeight="false" outlineLevel="0" collapsed="false">
      <c r="A89" s="5" t="s">
        <v>89</v>
      </c>
      <c r="B89" s="5" t="s">
        <v>81</v>
      </c>
      <c r="C89" s="5" t="s">
        <v>58</v>
      </c>
      <c r="D89" s="5" t="s">
        <v>59</v>
      </c>
      <c r="E89" s="5" t="s">
        <v>43</v>
      </c>
      <c r="F89" s="5" t="s">
        <v>48</v>
      </c>
      <c r="G89" s="5" t="s">
        <v>49</v>
      </c>
      <c r="H89" s="6" t="n">
        <v>98</v>
      </c>
      <c r="I89" s="7" t="n">
        <v>180</v>
      </c>
      <c r="J89" s="8" t="n">
        <v>0.098</v>
      </c>
      <c r="K89" s="7" t="n">
        <v>136.4</v>
      </c>
      <c r="L89" s="9" t="n">
        <f aca="false">I89*(1-J89)</f>
        <v>162.36</v>
      </c>
      <c r="M89" s="10" t="n">
        <f aca="false">H89*I89</f>
        <v>17640</v>
      </c>
      <c r="N89" s="10" t="n">
        <f aca="false">H89*L89</f>
        <v>15911.28</v>
      </c>
      <c r="O89" s="10" t="n">
        <f aca="false">H89*K89</f>
        <v>13367.2</v>
      </c>
      <c r="P89" s="10" t="n">
        <f aca="false">N89-O89</f>
        <v>2544.08</v>
      </c>
      <c r="Q89" s="11" t="n">
        <f aca="false">IF(N89=0,0,P89/N89)</f>
        <v>0.159891598915989</v>
      </c>
    </row>
    <row r="90" customFormat="false" ht="15" hidden="false" customHeight="false" outlineLevel="0" collapsed="false">
      <c r="A90" s="5" t="s">
        <v>89</v>
      </c>
      <c r="B90" s="5" t="s">
        <v>81</v>
      </c>
      <c r="C90" s="5" t="s">
        <v>58</v>
      </c>
      <c r="D90" s="5" t="s">
        <v>59</v>
      </c>
      <c r="E90" s="5" t="s">
        <v>43</v>
      </c>
      <c r="F90" s="5" t="s">
        <v>50</v>
      </c>
      <c r="G90" s="5" t="s">
        <v>51</v>
      </c>
      <c r="H90" s="6" t="n">
        <v>239</v>
      </c>
      <c r="I90" s="7" t="n">
        <v>66</v>
      </c>
      <c r="J90" s="8" t="n">
        <v>0.093</v>
      </c>
      <c r="K90" s="7" t="n">
        <v>33.1</v>
      </c>
      <c r="L90" s="9" t="n">
        <f aca="false">I90*(1-J90)</f>
        <v>59.862</v>
      </c>
      <c r="M90" s="10" t="n">
        <f aca="false">H90*I90</f>
        <v>15774</v>
      </c>
      <c r="N90" s="10" t="n">
        <f aca="false">H90*L90</f>
        <v>14307.018</v>
      </c>
      <c r="O90" s="10" t="n">
        <f aca="false">H90*K90</f>
        <v>7910.9</v>
      </c>
      <c r="P90" s="10" t="n">
        <f aca="false">N90-O90</f>
        <v>6396.118</v>
      </c>
      <c r="Q90" s="11" t="n">
        <f aca="false">IF(N90=0,0,P90/N90)</f>
        <v>0.447061574955731</v>
      </c>
    </row>
    <row r="91" customFormat="false" ht="15" hidden="false" customHeight="false" outlineLevel="0" collapsed="false">
      <c r="A91" s="5" t="s">
        <v>90</v>
      </c>
      <c r="B91" s="5" t="s">
        <v>81</v>
      </c>
      <c r="C91" s="5" t="s">
        <v>66</v>
      </c>
      <c r="D91" s="5" t="s">
        <v>69</v>
      </c>
      <c r="E91" s="5" t="s">
        <v>60</v>
      </c>
      <c r="F91" s="5" t="s">
        <v>44</v>
      </c>
      <c r="G91" s="5" t="s">
        <v>45</v>
      </c>
      <c r="H91" s="6" t="n">
        <v>621</v>
      </c>
      <c r="I91" s="7" t="n">
        <v>95</v>
      </c>
      <c r="J91" s="8" t="n">
        <v>0.276</v>
      </c>
      <c r="K91" s="7" t="n">
        <v>35</v>
      </c>
      <c r="L91" s="9" t="n">
        <f aca="false">I91*(1-J91)</f>
        <v>68.78</v>
      </c>
      <c r="M91" s="10" t="n">
        <f aca="false">H91*I91</f>
        <v>58995</v>
      </c>
      <c r="N91" s="10" t="n">
        <f aca="false">H91*L91</f>
        <v>42712.38</v>
      </c>
      <c r="O91" s="10" t="n">
        <f aca="false">H91*K91</f>
        <v>21735</v>
      </c>
      <c r="P91" s="10" t="n">
        <f aca="false">N91-O91</f>
        <v>20977.38</v>
      </c>
      <c r="Q91" s="11" t="n">
        <f aca="false">IF(N91=0,0,P91/N91)</f>
        <v>0.491131142774062</v>
      </c>
    </row>
    <row r="92" customFormat="false" ht="15" hidden="false" customHeight="false" outlineLevel="0" collapsed="false">
      <c r="A92" s="5" t="s">
        <v>90</v>
      </c>
      <c r="B92" s="5" t="s">
        <v>81</v>
      </c>
      <c r="C92" s="5" t="s">
        <v>66</v>
      </c>
      <c r="D92" s="5" t="s">
        <v>69</v>
      </c>
      <c r="E92" s="5" t="s">
        <v>60</v>
      </c>
      <c r="F92" s="5" t="s">
        <v>46</v>
      </c>
      <c r="G92" s="5" t="s">
        <v>47</v>
      </c>
      <c r="H92" s="6" t="n">
        <v>504</v>
      </c>
      <c r="I92" s="7" t="n">
        <v>40</v>
      </c>
      <c r="J92" s="8" t="n">
        <v>0.328</v>
      </c>
      <c r="K92" s="7" t="n">
        <v>5.5</v>
      </c>
      <c r="L92" s="9" t="n">
        <f aca="false">I92*(1-J92)</f>
        <v>26.88</v>
      </c>
      <c r="M92" s="10" t="n">
        <f aca="false">H92*I92</f>
        <v>20160</v>
      </c>
      <c r="N92" s="10" t="n">
        <f aca="false">H92*L92</f>
        <v>13547.52</v>
      </c>
      <c r="O92" s="10" t="n">
        <f aca="false">H92*K92</f>
        <v>2772</v>
      </c>
      <c r="P92" s="10" t="n">
        <f aca="false">N92-O92</f>
        <v>10775.52</v>
      </c>
      <c r="Q92" s="11" t="n">
        <f aca="false">IF(N92=0,0,P92/N92)</f>
        <v>0.795386904761905</v>
      </c>
    </row>
    <row r="93" customFormat="false" ht="15" hidden="false" customHeight="false" outlineLevel="0" collapsed="false">
      <c r="A93" s="5" t="s">
        <v>90</v>
      </c>
      <c r="B93" s="5" t="s">
        <v>81</v>
      </c>
      <c r="C93" s="5" t="s">
        <v>66</v>
      </c>
      <c r="D93" s="5" t="s">
        <v>69</v>
      </c>
      <c r="E93" s="5" t="s">
        <v>60</v>
      </c>
      <c r="F93" s="5" t="s">
        <v>50</v>
      </c>
      <c r="G93" s="5" t="s">
        <v>51</v>
      </c>
      <c r="H93" s="6" t="n">
        <v>207</v>
      </c>
      <c r="I93" s="7" t="n">
        <v>66</v>
      </c>
      <c r="J93" s="8" t="n">
        <v>0.119</v>
      </c>
      <c r="K93" s="7" t="n">
        <v>32.8</v>
      </c>
      <c r="L93" s="9" t="n">
        <f aca="false">I93*(1-J93)</f>
        <v>58.146</v>
      </c>
      <c r="M93" s="10" t="n">
        <f aca="false">H93*I93</f>
        <v>13662</v>
      </c>
      <c r="N93" s="10" t="n">
        <f aca="false">H93*L93</f>
        <v>12036.222</v>
      </c>
      <c r="O93" s="10" t="n">
        <f aca="false">H93*K93</f>
        <v>6789.6</v>
      </c>
      <c r="P93" s="10" t="n">
        <f aca="false">N93-O93</f>
        <v>5246.622</v>
      </c>
      <c r="Q93" s="11" t="n">
        <f aca="false">IF(N93=0,0,P93/N93)</f>
        <v>0.435902727616689</v>
      </c>
    </row>
    <row r="94" customFormat="false" ht="15" hidden="false" customHeight="false" outlineLevel="0" collapsed="false">
      <c r="A94" s="5" t="s">
        <v>91</v>
      </c>
      <c r="B94" s="5" t="s">
        <v>81</v>
      </c>
      <c r="C94" s="5" t="s">
        <v>66</v>
      </c>
      <c r="D94" s="5" t="s">
        <v>69</v>
      </c>
      <c r="E94" s="5" t="s">
        <v>60</v>
      </c>
      <c r="F94" s="5" t="s">
        <v>44</v>
      </c>
      <c r="G94" s="5" t="s">
        <v>45</v>
      </c>
      <c r="H94" s="6" t="n">
        <v>984</v>
      </c>
      <c r="I94" s="7" t="n">
        <v>95</v>
      </c>
      <c r="J94" s="8" t="n">
        <v>0.265</v>
      </c>
      <c r="K94" s="7" t="n">
        <v>33.5</v>
      </c>
      <c r="L94" s="9" t="n">
        <f aca="false">I94*(1-J94)</f>
        <v>69.825</v>
      </c>
      <c r="M94" s="10" t="n">
        <f aca="false">H94*I94</f>
        <v>93480</v>
      </c>
      <c r="N94" s="10" t="n">
        <f aca="false">H94*L94</f>
        <v>68707.8</v>
      </c>
      <c r="O94" s="10" t="n">
        <f aca="false">H94*K94</f>
        <v>32964</v>
      </c>
      <c r="P94" s="10" t="n">
        <f aca="false">N94-O94</f>
        <v>35743.8</v>
      </c>
      <c r="Q94" s="11" t="n">
        <f aca="false">IF(N94=0,0,P94/N94)</f>
        <v>0.520229144289295</v>
      </c>
    </row>
    <row r="95" customFormat="false" ht="15" hidden="false" customHeight="false" outlineLevel="0" collapsed="false">
      <c r="A95" s="5" t="s">
        <v>91</v>
      </c>
      <c r="B95" s="5" t="s">
        <v>81</v>
      </c>
      <c r="C95" s="5" t="s">
        <v>66</v>
      </c>
      <c r="D95" s="5" t="s">
        <v>69</v>
      </c>
      <c r="E95" s="5" t="s">
        <v>60</v>
      </c>
      <c r="F95" s="5" t="s">
        <v>46</v>
      </c>
      <c r="G95" s="5" t="s">
        <v>47</v>
      </c>
      <c r="H95" s="6" t="n">
        <v>842</v>
      </c>
      <c r="I95" s="7" t="n">
        <v>40</v>
      </c>
      <c r="J95" s="8" t="n">
        <v>0.296</v>
      </c>
      <c r="K95" s="7" t="n">
        <v>5.6</v>
      </c>
      <c r="L95" s="9" t="n">
        <f aca="false">I95*(1-J95)</f>
        <v>28.16</v>
      </c>
      <c r="M95" s="10" t="n">
        <f aca="false">H95*I95</f>
        <v>33680</v>
      </c>
      <c r="N95" s="10" t="n">
        <f aca="false">H95*L95</f>
        <v>23710.72</v>
      </c>
      <c r="O95" s="10" t="n">
        <f aca="false">H95*K95</f>
        <v>4715.2</v>
      </c>
      <c r="P95" s="10" t="n">
        <f aca="false">N95-O95</f>
        <v>18995.52</v>
      </c>
      <c r="Q95" s="11" t="n">
        <f aca="false">IF(N95=0,0,P95/N95)</f>
        <v>0.801136363636364</v>
      </c>
    </row>
    <row r="96" customFormat="false" ht="15" hidden="false" customHeight="false" outlineLevel="0" collapsed="false">
      <c r="A96" s="5" t="s">
        <v>91</v>
      </c>
      <c r="B96" s="5" t="s">
        <v>81</v>
      </c>
      <c r="C96" s="5" t="s">
        <v>66</v>
      </c>
      <c r="D96" s="5" t="s">
        <v>69</v>
      </c>
      <c r="E96" s="5" t="s">
        <v>60</v>
      </c>
      <c r="F96" s="5" t="s">
        <v>50</v>
      </c>
      <c r="G96" s="5" t="s">
        <v>51</v>
      </c>
      <c r="H96" s="6" t="n">
        <v>328</v>
      </c>
      <c r="I96" s="7" t="n">
        <v>66</v>
      </c>
      <c r="J96" s="8" t="n">
        <v>0.113</v>
      </c>
      <c r="K96" s="7" t="n">
        <v>32.7</v>
      </c>
      <c r="L96" s="9" t="n">
        <f aca="false">I96*(1-J96)</f>
        <v>58.542</v>
      </c>
      <c r="M96" s="10" t="n">
        <f aca="false">H96*I96</f>
        <v>21648</v>
      </c>
      <c r="N96" s="10" t="n">
        <f aca="false">H96*L96</f>
        <v>19201.776</v>
      </c>
      <c r="O96" s="10" t="n">
        <f aca="false">H96*K96</f>
        <v>10725.6</v>
      </c>
      <c r="P96" s="10" t="n">
        <f aca="false">N96-O96</f>
        <v>8476.176</v>
      </c>
      <c r="Q96" s="11" t="n">
        <f aca="false">IF(N96=0,0,P96/N96)</f>
        <v>0.441426668033207</v>
      </c>
    </row>
    <row r="97" customFormat="false" ht="15" hidden="false" customHeight="false" outlineLevel="0" collapsed="false">
      <c r="A97" s="5" t="s">
        <v>92</v>
      </c>
      <c r="B97" s="5" t="s">
        <v>81</v>
      </c>
      <c r="C97" s="5" t="s">
        <v>66</v>
      </c>
      <c r="D97" s="5" t="s">
        <v>69</v>
      </c>
      <c r="E97" s="5" t="s">
        <v>54</v>
      </c>
      <c r="F97" s="5" t="s">
        <v>44</v>
      </c>
      <c r="G97" s="5" t="s">
        <v>45</v>
      </c>
      <c r="H97" s="6" t="n">
        <v>561</v>
      </c>
      <c r="I97" s="7" t="n">
        <v>95</v>
      </c>
      <c r="J97" s="8" t="n">
        <v>0.28</v>
      </c>
      <c r="K97" s="7" t="n">
        <v>34.3</v>
      </c>
      <c r="L97" s="9" t="n">
        <f aca="false">I97*(1-J97)</f>
        <v>68.4</v>
      </c>
      <c r="M97" s="10" t="n">
        <f aca="false">H97*I97</f>
        <v>53295</v>
      </c>
      <c r="N97" s="10" t="n">
        <f aca="false">H97*L97</f>
        <v>38372.4</v>
      </c>
      <c r="O97" s="10" t="n">
        <f aca="false">H97*K97</f>
        <v>19242.3</v>
      </c>
      <c r="P97" s="10" t="n">
        <f aca="false">N97-O97</f>
        <v>19130.1</v>
      </c>
      <c r="Q97" s="11" t="n">
        <f aca="false">IF(N97=0,0,P97/N97)</f>
        <v>0.498538011695906</v>
      </c>
    </row>
    <row r="98" customFormat="false" ht="15" hidden="false" customHeight="false" outlineLevel="0" collapsed="false">
      <c r="A98" s="5" t="s">
        <v>92</v>
      </c>
      <c r="B98" s="5" t="s">
        <v>81</v>
      </c>
      <c r="C98" s="5" t="s">
        <v>66</v>
      </c>
      <c r="D98" s="5" t="s">
        <v>69</v>
      </c>
      <c r="E98" s="5" t="s">
        <v>54</v>
      </c>
      <c r="F98" s="5" t="s">
        <v>46</v>
      </c>
      <c r="G98" s="5" t="s">
        <v>47</v>
      </c>
      <c r="H98" s="6" t="n">
        <v>467</v>
      </c>
      <c r="I98" s="7" t="n">
        <v>40</v>
      </c>
      <c r="J98" s="8" t="n">
        <v>0.326</v>
      </c>
      <c r="K98" s="7" t="n">
        <v>5.5</v>
      </c>
      <c r="L98" s="9" t="n">
        <f aca="false">I98*(1-J98)</f>
        <v>26.96</v>
      </c>
      <c r="M98" s="10" t="n">
        <f aca="false">H98*I98</f>
        <v>18680</v>
      </c>
      <c r="N98" s="10" t="n">
        <f aca="false">H98*L98</f>
        <v>12590.32</v>
      </c>
      <c r="O98" s="10" t="n">
        <f aca="false">H98*K98</f>
        <v>2568.5</v>
      </c>
      <c r="P98" s="10" t="n">
        <f aca="false">N98-O98</f>
        <v>10021.82</v>
      </c>
      <c r="Q98" s="11" t="n">
        <f aca="false">IF(N98=0,0,P98/N98)</f>
        <v>0.795994065281899</v>
      </c>
    </row>
    <row r="99" customFormat="false" ht="15" hidden="false" customHeight="false" outlineLevel="0" collapsed="false">
      <c r="A99" s="5" t="s">
        <v>92</v>
      </c>
      <c r="B99" s="5" t="s">
        <v>81</v>
      </c>
      <c r="C99" s="5" t="s">
        <v>66</v>
      </c>
      <c r="D99" s="5" t="s">
        <v>69</v>
      </c>
      <c r="E99" s="5" t="s">
        <v>54</v>
      </c>
      <c r="F99" s="5" t="s">
        <v>48</v>
      </c>
      <c r="G99" s="5" t="s">
        <v>49</v>
      </c>
      <c r="H99" s="6" t="n">
        <v>105</v>
      </c>
      <c r="I99" s="7" t="n">
        <v>180</v>
      </c>
      <c r="J99" s="8" t="n">
        <v>0.052</v>
      </c>
      <c r="K99" s="7" t="n">
        <v>142.3</v>
      </c>
      <c r="L99" s="9" t="n">
        <f aca="false">I99*(1-J99)</f>
        <v>170.64</v>
      </c>
      <c r="M99" s="10" t="n">
        <f aca="false">H99*I99</f>
        <v>18900</v>
      </c>
      <c r="N99" s="10" t="n">
        <f aca="false">H99*L99</f>
        <v>17917.2</v>
      </c>
      <c r="O99" s="10" t="n">
        <f aca="false">H99*K99</f>
        <v>14941.5</v>
      </c>
      <c r="P99" s="10" t="n">
        <f aca="false">N99-O99</f>
        <v>2975.7</v>
      </c>
      <c r="Q99" s="11" t="n">
        <f aca="false">IF(N99=0,0,P99/N99)</f>
        <v>0.166080637599625</v>
      </c>
    </row>
    <row r="100" customFormat="false" ht="15" hidden="false" customHeight="false" outlineLevel="0" collapsed="false">
      <c r="A100" s="5" t="s">
        <v>92</v>
      </c>
      <c r="B100" s="5" t="s">
        <v>81</v>
      </c>
      <c r="C100" s="5" t="s">
        <v>66</v>
      </c>
      <c r="D100" s="5" t="s">
        <v>69</v>
      </c>
      <c r="E100" s="5" t="s">
        <v>54</v>
      </c>
      <c r="F100" s="5" t="s">
        <v>50</v>
      </c>
      <c r="G100" s="5" t="s">
        <v>51</v>
      </c>
      <c r="H100" s="6" t="n">
        <v>187</v>
      </c>
      <c r="I100" s="7" t="n">
        <v>66</v>
      </c>
      <c r="J100" s="8" t="n">
        <v>0.097</v>
      </c>
      <c r="K100" s="7" t="n">
        <v>33.6</v>
      </c>
      <c r="L100" s="9" t="n">
        <f aca="false">I100*(1-J100)</f>
        <v>59.598</v>
      </c>
      <c r="M100" s="10" t="n">
        <f aca="false">H100*I100</f>
        <v>12342</v>
      </c>
      <c r="N100" s="10" t="n">
        <f aca="false">H100*L100</f>
        <v>11144.826</v>
      </c>
      <c r="O100" s="10" t="n">
        <f aca="false">H100*K100</f>
        <v>6283.2</v>
      </c>
      <c r="P100" s="10" t="n">
        <f aca="false">N100-O100</f>
        <v>4861.626</v>
      </c>
      <c r="Q100" s="11" t="n">
        <f aca="false">IF(N100=0,0,P100/N100)</f>
        <v>0.436222692036646</v>
      </c>
    </row>
    <row r="101" customFormat="false" ht="15" hidden="false" customHeight="false" outlineLevel="0" collapsed="false">
      <c r="A101" s="5" t="s">
        <v>93</v>
      </c>
      <c r="B101" s="5" t="s">
        <v>81</v>
      </c>
      <c r="C101" s="5" t="s">
        <v>66</v>
      </c>
      <c r="D101" s="5" t="s">
        <v>67</v>
      </c>
      <c r="E101" s="5" t="s">
        <v>43</v>
      </c>
      <c r="F101" s="5" t="s">
        <v>44</v>
      </c>
      <c r="G101" s="5" t="s">
        <v>45</v>
      </c>
      <c r="H101" s="6" t="n">
        <v>969</v>
      </c>
      <c r="I101" s="7" t="n">
        <v>95</v>
      </c>
      <c r="J101" s="8" t="n">
        <v>0.309</v>
      </c>
      <c r="K101" s="7" t="n">
        <v>34.6</v>
      </c>
      <c r="L101" s="9" t="n">
        <f aca="false">I101*(1-J101)</f>
        <v>65.645</v>
      </c>
      <c r="M101" s="10" t="n">
        <f aca="false">H101*I101</f>
        <v>92055</v>
      </c>
      <c r="N101" s="10" t="n">
        <f aca="false">H101*L101</f>
        <v>63610.005</v>
      </c>
      <c r="O101" s="10" t="n">
        <f aca="false">H101*K101</f>
        <v>33527.4</v>
      </c>
      <c r="P101" s="10" t="n">
        <f aca="false">N101-O101</f>
        <v>30082.605</v>
      </c>
      <c r="Q101" s="11" t="n">
        <f aca="false">IF(N101=0,0,P101/N101)</f>
        <v>0.472922537893214</v>
      </c>
    </row>
    <row r="102" customFormat="false" ht="15" hidden="false" customHeight="false" outlineLevel="0" collapsed="false">
      <c r="A102" s="5" t="s">
        <v>93</v>
      </c>
      <c r="B102" s="5" t="s">
        <v>81</v>
      </c>
      <c r="C102" s="5" t="s">
        <v>66</v>
      </c>
      <c r="D102" s="5" t="s">
        <v>67</v>
      </c>
      <c r="E102" s="5" t="s">
        <v>43</v>
      </c>
      <c r="F102" s="5" t="s">
        <v>46</v>
      </c>
      <c r="G102" s="5" t="s">
        <v>47</v>
      </c>
      <c r="H102" s="6" t="n">
        <v>783</v>
      </c>
      <c r="I102" s="7" t="n">
        <v>40</v>
      </c>
      <c r="J102" s="8" t="n">
        <v>0.305</v>
      </c>
      <c r="K102" s="7" t="n">
        <v>5.4</v>
      </c>
      <c r="L102" s="9" t="n">
        <f aca="false">I102*(1-J102)</f>
        <v>27.8</v>
      </c>
      <c r="M102" s="10" t="n">
        <f aca="false">H102*I102</f>
        <v>31320</v>
      </c>
      <c r="N102" s="10" t="n">
        <f aca="false">H102*L102</f>
        <v>21767.4</v>
      </c>
      <c r="O102" s="10" t="n">
        <f aca="false">H102*K102</f>
        <v>4228.2</v>
      </c>
      <c r="P102" s="10" t="n">
        <f aca="false">N102-O102</f>
        <v>17539.2</v>
      </c>
      <c r="Q102" s="11" t="n">
        <f aca="false">IF(N102=0,0,P102/N102)</f>
        <v>0.805755395683453</v>
      </c>
    </row>
    <row r="103" customFormat="false" ht="15" hidden="false" customHeight="false" outlineLevel="0" collapsed="false">
      <c r="A103" s="5" t="s">
        <v>93</v>
      </c>
      <c r="B103" s="5" t="s">
        <v>81</v>
      </c>
      <c r="C103" s="5" t="s">
        <v>66</v>
      </c>
      <c r="D103" s="5" t="s">
        <v>67</v>
      </c>
      <c r="E103" s="5" t="s">
        <v>43</v>
      </c>
      <c r="F103" s="5" t="s">
        <v>48</v>
      </c>
      <c r="G103" s="5" t="s">
        <v>49</v>
      </c>
      <c r="H103" s="6" t="n">
        <v>111</v>
      </c>
      <c r="I103" s="7" t="n">
        <v>180</v>
      </c>
      <c r="J103" s="8" t="n">
        <v>0.104</v>
      </c>
      <c r="K103" s="7" t="n">
        <v>141.4</v>
      </c>
      <c r="L103" s="9" t="n">
        <f aca="false">I103*(1-J103)</f>
        <v>161.28</v>
      </c>
      <c r="M103" s="10" t="n">
        <f aca="false">H103*I103</f>
        <v>19980</v>
      </c>
      <c r="N103" s="10" t="n">
        <f aca="false">H103*L103</f>
        <v>17902.08</v>
      </c>
      <c r="O103" s="10" t="n">
        <f aca="false">H103*K103</f>
        <v>15695.4</v>
      </c>
      <c r="P103" s="10" t="n">
        <f aca="false">N103-O103</f>
        <v>2206.68</v>
      </c>
      <c r="Q103" s="11" t="n">
        <f aca="false">IF(N103=0,0,P103/N103)</f>
        <v>0.123263888888889</v>
      </c>
    </row>
    <row r="104" customFormat="false" ht="15" hidden="false" customHeight="false" outlineLevel="0" collapsed="false">
      <c r="A104" s="5" t="s">
        <v>93</v>
      </c>
      <c r="B104" s="5" t="s">
        <v>81</v>
      </c>
      <c r="C104" s="5" t="s">
        <v>66</v>
      </c>
      <c r="D104" s="5" t="s">
        <v>67</v>
      </c>
      <c r="E104" s="5" t="s">
        <v>43</v>
      </c>
      <c r="F104" s="5" t="s">
        <v>50</v>
      </c>
      <c r="G104" s="5" t="s">
        <v>51</v>
      </c>
      <c r="H104" s="6" t="n">
        <v>323</v>
      </c>
      <c r="I104" s="7" t="n">
        <v>66</v>
      </c>
      <c r="J104" s="8" t="n">
        <v>0.116</v>
      </c>
      <c r="K104" s="7" t="n">
        <v>31.8</v>
      </c>
      <c r="L104" s="9" t="n">
        <f aca="false">I104*(1-J104)</f>
        <v>58.344</v>
      </c>
      <c r="M104" s="10" t="n">
        <f aca="false">H104*I104</f>
        <v>21318</v>
      </c>
      <c r="N104" s="10" t="n">
        <f aca="false">H104*L104</f>
        <v>18845.112</v>
      </c>
      <c r="O104" s="10" t="n">
        <f aca="false">H104*K104</f>
        <v>10271.4</v>
      </c>
      <c r="P104" s="10" t="n">
        <f aca="false">N104-O104</f>
        <v>8573.712</v>
      </c>
      <c r="Q104" s="11" t="n">
        <f aca="false">IF(N104=0,0,P104/N104)</f>
        <v>0.454956807897984</v>
      </c>
    </row>
    <row r="105" customFormat="false" ht="15" hidden="false" customHeight="false" outlineLevel="0" collapsed="false">
      <c r="A105" s="5" t="s">
        <v>94</v>
      </c>
      <c r="B105" s="5" t="s">
        <v>81</v>
      </c>
      <c r="C105" s="5" t="s">
        <v>73</v>
      </c>
      <c r="D105" s="5" t="s">
        <v>74</v>
      </c>
      <c r="E105" s="5" t="s">
        <v>54</v>
      </c>
      <c r="F105" s="5" t="s">
        <v>44</v>
      </c>
      <c r="G105" s="5" t="s">
        <v>45</v>
      </c>
      <c r="H105" s="6" t="n">
        <v>585</v>
      </c>
      <c r="I105" s="7" t="n">
        <v>95</v>
      </c>
      <c r="J105" s="8" t="n">
        <v>0.319</v>
      </c>
      <c r="K105" s="7" t="n">
        <v>34.9</v>
      </c>
      <c r="L105" s="9" t="n">
        <f aca="false">I105*(1-J105)</f>
        <v>64.695</v>
      </c>
      <c r="M105" s="10" t="n">
        <f aca="false">H105*I105</f>
        <v>55575</v>
      </c>
      <c r="N105" s="10" t="n">
        <f aca="false">H105*L105</f>
        <v>37846.575</v>
      </c>
      <c r="O105" s="10" t="n">
        <f aca="false">H105*K105</f>
        <v>20416.5</v>
      </c>
      <c r="P105" s="10" t="n">
        <f aca="false">N105-O105</f>
        <v>17430.075</v>
      </c>
      <c r="Q105" s="11" t="n">
        <f aca="false">IF(N105=0,0,P105/N105)</f>
        <v>0.460545637220805</v>
      </c>
    </row>
    <row r="106" customFormat="false" ht="15" hidden="false" customHeight="false" outlineLevel="0" collapsed="false">
      <c r="A106" s="5" t="s">
        <v>94</v>
      </c>
      <c r="B106" s="5" t="s">
        <v>81</v>
      </c>
      <c r="C106" s="5" t="s">
        <v>73</v>
      </c>
      <c r="D106" s="5" t="s">
        <v>74</v>
      </c>
      <c r="E106" s="5" t="s">
        <v>54</v>
      </c>
      <c r="F106" s="5" t="s">
        <v>46</v>
      </c>
      <c r="G106" s="5" t="s">
        <v>47</v>
      </c>
      <c r="H106" s="6" t="n">
        <v>438</v>
      </c>
      <c r="I106" s="7" t="n">
        <v>40</v>
      </c>
      <c r="J106" s="8" t="n">
        <v>0.31</v>
      </c>
      <c r="K106" s="7" t="n">
        <v>5.5</v>
      </c>
      <c r="L106" s="9" t="n">
        <f aca="false">I106*(1-J106)</f>
        <v>27.6</v>
      </c>
      <c r="M106" s="10" t="n">
        <f aca="false">H106*I106</f>
        <v>17520</v>
      </c>
      <c r="N106" s="10" t="n">
        <f aca="false">H106*L106</f>
        <v>12088.8</v>
      </c>
      <c r="O106" s="10" t="n">
        <f aca="false">H106*K106</f>
        <v>2409</v>
      </c>
      <c r="P106" s="10" t="n">
        <f aca="false">N106-O106</f>
        <v>9679.8</v>
      </c>
      <c r="Q106" s="11" t="n">
        <f aca="false">IF(N106=0,0,P106/N106)</f>
        <v>0.800724637681159</v>
      </c>
    </row>
    <row r="107" customFormat="false" ht="15" hidden="false" customHeight="false" outlineLevel="0" collapsed="false">
      <c r="A107" s="5" t="s">
        <v>94</v>
      </c>
      <c r="B107" s="5" t="s">
        <v>81</v>
      </c>
      <c r="C107" s="5" t="s">
        <v>73</v>
      </c>
      <c r="D107" s="5" t="s">
        <v>74</v>
      </c>
      <c r="E107" s="5" t="s">
        <v>54</v>
      </c>
      <c r="F107" s="5" t="s">
        <v>48</v>
      </c>
      <c r="G107" s="5" t="s">
        <v>49</v>
      </c>
      <c r="H107" s="6" t="n">
        <v>129</v>
      </c>
      <c r="I107" s="7" t="n">
        <v>180</v>
      </c>
      <c r="J107" s="8" t="n">
        <v>0.105</v>
      </c>
      <c r="K107" s="7" t="n">
        <v>142.1</v>
      </c>
      <c r="L107" s="9" t="n">
        <f aca="false">I107*(1-J107)</f>
        <v>161.1</v>
      </c>
      <c r="M107" s="10" t="n">
        <f aca="false">H107*I107</f>
        <v>23220</v>
      </c>
      <c r="N107" s="10" t="n">
        <f aca="false">H107*L107</f>
        <v>20781.9</v>
      </c>
      <c r="O107" s="10" t="n">
        <f aca="false">H107*K107</f>
        <v>18330.9</v>
      </c>
      <c r="P107" s="10" t="n">
        <f aca="false">N107-O107</f>
        <v>2451</v>
      </c>
      <c r="Q107" s="11" t="n">
        <f aca="false">IF(N107=0,0,P107/N107)</f>
        <v>0.117939168218498</v>
      </c>
    </row>
    <row r="108" customFormat="false" ht="15" hidden="false" customHeight="false" outlineLevel="0" collapsed="false">
      <c r="A108" s="5" t="s">
        <v>94</v>
      </c>
      <c r="B108" s="5" t="s">
        <v>81</v>
      </c>
      <c r="C108" s="5" t="s">
        <v>73</v>
      </c>
      <c r="D108" s="5" t="s">
        <v>74</v>
      </c>
      <c r="E108" s="5" t="s">
        <v>54</v>
      </c>
      <c r="F108" s="5" t="s">
        <v>50</v>
      </c>
      <c r="G108" s="5" t="s">
        <v>51</v>
      </c>
      <c r="H108" s="6" t="n">
        <v>195</v>
      </c>
      <c r="I108" s="7" t="n">
        <v>66</v>
      </c>
      <c r="J108" s="8" t="n">
        <v>0.085</v>
      </c>
      <c r="K108" s="7" t="n">
        <v>32.3</v>
      </c>
      <c r="L108" s="9" t="n">
        <f aca="false">I108*(1-J108)</f>
        <v>60.39</v>
      </c>
      <c r="M108" s="10" t="n">
        <f aca="false">H108*I108</f>
        <v>12870</v>
      </c>
      <c r="N108" s="10" t="n">
        <f aca="false">H108*L108</f>
        <v>11776.05</v>
      </c>
      <c r="O108" s="10" t="n">
        <f aca="false">H108*K108</f>
        <v>6298.5</v>
      </c>
      <c r="P108" s="10" t="n">
        <f aca="false">N108-O108</f>
        <v>5477.55</v>
      </c>
      <c r="Q108" s="11" t="n">
        <f aca="false">IF(N108=0,0,P108/N108)</f>
        <v>0.465143235635039</v>
      </c>
    </row>
    <row r="109" customFormat="false" ht="15" hidden="false" customHeight="false" outlineLevel="0" collapsed="false">
      <c r="A109" s="5" t="s">
        <v>95</v>
      </c>
      <c r="B109" s="5" t="s">
        <v>81</v>
      </c>
      <c r="C109" s="5" t="s">
        <v>73</v>
      </c>
      <c r="D109" s="5" t="s">
        <v>74</v>
      </c>
      <c r="E109" s="5" t="s">
        <v>54</v>
      </c>
      <c r="F109" s="5" t="s">
        <v>44</v>
      </c>
      <c r="G109" s="5" t="s">
        <v>45</v>
      </c>
      <c r="H109" s="6" t="n">
        <v>1134</v>
      </c>
      <c r="I109" s="7" t="n">
        <v>95</v>
      </c>
      <c r="J109" s="8" t="n">
        <v>0.32</v>
      </c>
      <c r="K109" s="7" t="n">
        <v>34.7</v>
      </c>
      <c r="L109" s="9" t="n">
        <f aca="false">I109*(1-J109)</f>
        <v>64.6</v>
      </c>
      <c r="M109" s="10" t="n">
        <f aca="false">H109*I109</f>
        <v>107730</v>
      </c>
      <c r="N109" s="10" t="n">
        <f aca="false">H109*L109</f>
        <v>73256.4</v>
      </c>
      <c r="O109" s="10" t="n">
        <f aca="false">H109*K109</f>
        <v>39349.8</v>
      </c>
      <c r="P109" s="10" t="n">
        <f aca="false">N109-O109</f>
        <v>33906.6</v>
      </c>
      <c r="Q109" s="11" t="n">
        <f aca="false">IF(N109=0,0,P109/N109)</f>
        <v>0.462848297213622</v>
      </c>
    </row>
    <row r="110" customFormat="false" ht="15" hidden="false" customHeight="false" outlineLevel="0" collapsed="false">
      <c r="A110" s="5" t="s">
        <v>95</v>
      </c>
      <c r="B110" s="5" t="s">
        <v>81</v>
      </c>
      <c r="C110" s="5" t="s">
        <v>73</v>
      </c>
      <c r="D110" s="5" t="s">
        <v>74</v>
      </c>
      <c r="E110" s="5" t="s">
        <v>54</v>
      </c>
      <c r="F110" s="5" t="s">
        <v>46</v>
      </c>
      <c r="G110" s="5" t="s">
        <v>47</v>
      </c>
      <c r="H110" s="6" t="n">
        <v>1038</v>
      </c>
      <c r="I110" s="7" t="n">
        <v>40</v>
      </c>
      <c r="J110" s="8" t="n">
        <v>0.311</v>
      </c>
      <c r="K110" s="7" t="n">
        <v>5.5</v>
      </c>
      <c r="L110" s="9" t="n">
        <f aca="false">I110*(1-J110)</f>
        <v>27.56</v>
      </c>
      <c r="M110" s="10" t="n">
        <f aca="false">H110*I110</f>
        <v>41520</v>
      </c>
      <c r="N110" s="10" t="n">
        <f aca="false">H110*L110</f>
        <v>28607.28</v>
      </c>
      <c r="O110" s="10" t="n">
        <f aca="false">H110*K110</f>
        <v>5709</v>
      </c>
      <c r="P110" s="10" t="n">
        <f aca="false">N110-O110</f>
        <v>22898.28</v>
      </c>
      <c r="Q110" s="11" t="n">
        <f aca="false">IF(N110=0,0,P110/N110)</f>
        <v>0.800435413642961</v>
      </c>
    </row>
    <row r="111" customFormat="false" ht="15" hidden="false" customHeight="false" outlineLevel="0" collapsed="false">
      <c r="A111" s="5" t="s">
        <v>95</v>
      </c>
      <c r="B111" s="5" t="s">
        <v>81</v>
      </c>
      <c r="C111" s="5" t="s">
        <v>73</v>
      </c>
      <c r="D111" s="5" t="s">
        <v>74</v>
      </c>
      <c r="E111" s="5" t="s">
        <v>54</v>
      </c>
      <c r="F111" s="5" t="s">
        <v>48</v>
      </c>
      <c r="G111" s="5" t="s">
        <v>49</v>
      </c>
      <c r="H111" s="6" t="n">
        <v>188</v>
      </c>
      <c r="I111" s="7" t="n">
        <v>180</v>
      </c>
      <c r="J111" s="8" t="n">
        <v>0.099</v>
      </c>
      <c r="K111" s="7" t="n">
        <v>136.6</v>
      </c>
      <c r="L111" s="9" t="n">
        <f aca="false">I111*(1-J111)</f>
        <v>162.18</v>
      </c>
      <c r="M111" s="10" t="n">
        <f aca="false">H111*I111</f>
        <v>33840</v>
      </c>
      <c r="N111" s="10" t="n">
        <f aca="false">H111*L111</f>
        <v>30489.84</v>
      </c>
      <c r="O111" s="10" t="n">
        <f aca="false">H111*K111</f>
        <v>25680.8</v>
      </c>
      <c r="P111" s="10" t="n">
        <f aca="false">N111-O111</f>
        <v>4809.04</v>
      </c>
      <c r="Q111" s="11" t="n">
        <f aca="false">IF(N111=0,0,P111/N111)</f>
        <v>0.157725983475151</v>
      </c>
    </row>
    <row r="112" customFormat="false" ht="15" hidden="false" customHeight="false" outlineLevel="0" collapsed="false">
      <c r="A112" s="5" t="s">
        <v>95</v>
      </c>
      <c r="B112" s="5" t="s">
        <v>81</v>
      </c>
      <c r="C112" s="5" t="s">
        <v>73</v>
      </c>
      <c r="D112" s="5" t="s">
        <v>74</v>
      </c>
      <c r="E112" s="5" t="s">
        <v>54</v>
      </c>
      <c r="F112" s="5" t="s">
        <v>50</v>
      </c>
      <c r="G112" s="5" t="s">
        <v>51</v>
      </c>
      <c r="H112" s="6" t="n">
        <v>378</v>
      </c>
      <c r="I112" s="7" t="n">
        <v>66</v>
      </c>
      <c r="J112" s="8" t="n">
        <v>0.095</v>
      </c>
      <c r="K112" s="7" t="n">
        <v>32.4</v>
      </c>
      <c r="L112" s="9" t="n">
        <f aca="false">I112*(1-J112)</f>
        <v>59.73</v>
      </c>
      <c r="M112" s="10" t="n">
        <f aca="false">H112*I112</f>
        <v>24948</v>
      </c>
      <c r="N112" s="10" t="n">
        <f aca="false">H112*L112</f>
        <v>22577.94</v>
      </c>
      <c r="O112" s="10" t="n">
        <f aca="false">H112*K112</f>
        <v>12247.2</v>
      </c>
      <c r="P112" s="10" t="n">
        <f aca="false">N112-O112</f>
        <v>10330.74</v>
      </c>
      <c r="Q112" s="11" t="n">
        <f aca="false">IF(N112=0,0,P112/N112)</f>
        <v>0.457559015570065</v>
      </c>
    </row>
    <row r="113" customFormat="false" ht="15" hidden="false" customHeight="false" outlineLevel="0" collapsed="false">
      <c r="A113" s="5" t="s">
        <v>96</v>
      </c>
      <c r="B113" s="5" t="s">
        <v>81</v>
      </c>
      <c r="C113" s="5" t="s">
        <v>73</v>
      </c>
      <c r="D113" s="5" t="s">
        <v>79</v>
      </c>
      <c r="E113" s="5" t="s">
        <v>54</v>
      </c>
      <c r="F113" s="5" t="s">
        <v>44</v>
      </c>
      <c r="G113" s="5" t="s">
        <v>45</v>
      </c>
      <c r="H113" s="6" t="n">
        <v>1035</v>
      </c>
      <c r="I113" s="7" t="n">
        <v>95</v>
      </c>
      <c r="J113" s="8" t="n">
        <v>0.326</v>
      </c>
      <c r="K113" s="7" t="n">
        <v>35.1</v>
      </c>
      <c r="L113" s="9" t="n">
        <f aca="false">I113*(1-J113)</f>
        <v>64.03</v>
      </c>
      <c r="M113" s="10" t="n">
        <f aca="false">H113*I113</f>
        <v>98325</v>
      </c>
      <c r="N113" s="10" t="n">
        <f aca="false">H113*L113</f>
        <v>66271.05</v>
      </c>
      <c r="O113" s="10" t="n">
        <f aca="false">H113*K113</f>
        <v>36328.5</v>
      </c>
      <c r="P113" s="10" t="n">
        <f aca="false">N113-O113</f>
        <v>29942.55</v>
      </c>
      <c r="Q113" s="11" t="n">
        <f aca="false">IF(N113=0,0,P113/N113)</f>
        <v>0.451819459628299</v>
      </c>
    </row>
    <row r="114" customFormat="false" ht="15" hidden="false" customHeight="false" outlineLevel="0" collapsed="false">
      <c r="A114" s="5" t="s">
        <v>96</v>
      </c>
      <c r="B114" s="5" t="s">
        <v>81</v>
      </c>
      <c r="C114" s="5" t="s">
        <v>73</v>
      </c>
      <c r="D114" s="5" t="s">
        <v>79</v>
      </c>
      <c r="E114" s="5" t="s">
        <v>54</v>
      </c>
      <c r="F114" s="5" t="s">
        <v>46</v>
      </c>
      <c r="G114" s="5" t="s">
        <v>47</v>
      </c>
      <c r="H114" s="6" t="n">
        <v>964</v>
      </c>
      <c r="I114" s="7" t="n">
        <v>40</v>
      </c>
      <c r="J114" s="8" t="n">
        <v>0.345</v>
      </c>
      <c r="K114" s="7" t="n">
        <v>5.7</v>
      </c>
      <c r="L114" s="9" t="n">
        <f aca="false">I114*(1-J114)</f>
        <v>26.2</v>
      </c>
      <c r="M114" s="10" t="n">
        <f aca="false">H114*I114</f>
        <v>38560</v>
      </c>
      <c r="N114" s="10" t="n">
        <f aca="false">H114*L114</f>
        <v>25256.8</v>
      </c>
      <c r="O114" s="10" t="n">
        <f aca="false">H114*K114</f>
        <v>5494.8</v>
      </c>
      <c r="P114" s="10" t="n">
        <f aca="false">N114-O114</f>
        <v>19762</v>
      </c>
      <c r="Q114" s="11" t="n">
        <f aca="false">IF(N114=0,0,P114/N114)</f>
        <v>0.782442748091603</v>
      </c>
    </row>
    <row r="115" customFormat="false" ht="15" hidden="false" customHeight="false" outlineLevel="0" collapsed="false">
      <c r="A115" s="5" t="s">
        <v>96</v>
      </c>
      <c r="B115" s="5" t="s">
        <v>81</v>
      </c>
      <c r="C115" s="5" t="s">
        <v>73</v>
      </c>
      <c r="D115" s="5" t="s">
        <v>79</v>
      </c>
      <c r="E115" s="5" t="s">
        <v>54</v>
      </c>
      <c r="F115" s="5" t="s">
        <v>48</v>
      </c>
      <c r="G115" s="5" t="s">
        <v>49</v>
      </c>
      <c r="H115" s="6" t="n">
        <v>216</v>
      </c>
      <c r="I115" s="7" t="n">
        <v>180</v>
      </c>
      <c r="J115" s="8" t="n">
        <v>0.055</v>
      </c>
      <c r="K115" s="7" t="n">
        <v>141</v>
      </c>
      <c r="L115" s="9" t="n">
        <f aca="false">I115*(1-J115)</f>
        <v>170.1</v>
      </c>
      <c r="M115" s="10" t="n">
        <f aca="false">H115*I115</f>
        <v>38880</v>
      </c>
      <c r="N115" s="10" t="n">
        <f aca="false">H115*L115</f>
        <v>36741.6</v>
      </c>
      <c r="O115" s="10" t="n">
        <f aca="false">H115*K115</f>
        <v>30456</v>
      </c>
      <c r="P115" s="10" t="n">
        <f aca="false">N115-O115</f>
        <v>6285.6</v>
      </c>
      <c r="Q115" s="11" t="n">
        <f aca="false">IF(N115=0,0,P115/N115)</f>
        <v>0.171075837742504</v>
      </c>
    </row>
    <row r="116" customFormat="false" ht="15" hidden="false" customHeight="false" outlineLevel="0" collapsed="false">
      <c r="A116" s="5" t="s">
        <v>96</v>
      </c>
      <c r="B116" s="5" t="s">
        <v>81</v>
      </c>
      <c r="C116" s="5" t="s">
        <v>73</v>
      </c>
      <c r="D116" s="5" t="s">
        <v>79</v>
      </c>
      <c r="E116" s="5" t="s">
        <v>54</v>
      </c>
      <c r="F116" s="5" t="s">
        <v>50</v>
      </c>
      <c r="G116" s="5" t="s">
        <v>51</v>
      </c>
      <c r="H116" s="6" t="n">
        <v>345</v>
      </c>
      <c r="I116" s="7" t="n">
        <v>66</v>
      </c>
      <c r="J116" s="8" t="n">
        <v>0.089</v>
      </c>
      <c r="K116" s="7" t="n">
        <v>32.8</v>
      </c>
      <c r="L116" s="9" t="n">
        <f aca="false">I116*(1-J116)</f>
        <v>60.126</v>
      </c>
      <c r="M116" s="10" t="n">
        <f aca="false">H116*I116</f>
        <v>22770</v>
      </c>
      <c r="N116" s="10" t="n">
        <f aca="false">H116*L116</f>
        <v>20743.47</v>
      </c>
      <c r="O116" s="10" t="n">
        <f aca="false">H116*K116</f>
        <v>11316</v>
      </c>
      <c r="P116" s="10" t="n">
        <f aca="false">N116-O116</f>
        <v>9427.47</v>
      </c>
      <c r="Q116" s="11" t="n">
        <f aca="false">IF(N116=0,0,P116/N116)</f>
        <v>0.454478927585404</v>
      </c>
    </row>
    <row r="117" customFormat="false" ht="15" hidden="false" customHeight="false" outlineLevel="0" collapsed="false">
      <c r="A117" s="5" t="s">
        <v>97</v>
      </c>
      <c r="B117" s="5" t="s">
        <v>81</v>
      </c>
      <c r="C117" s="5" t="s">
        <v>73</v>
      </c>
      <c r="D117" s="5" t="s">
        <v>79</v>
      </c>
      <c r="E117" s="5" t="s">
        <v>54</v>
      </c>
      <c r="F117" s="5" t="s">
        <v>44</v>
      </c>
      <c r="G117" s="5" t="s">
        <v>45</v>
      </c>
      <c r="H117" s="6" t="n">
        <v>966</v>
      </c>
      <c r="I117" s="7" t="n">
        <v>95</v>
      </c>
      <c r="J117" s="8" t="n">
        <v>0.296</v>
      </c>
      <c r="K117" s="7" t="n">
        <v>33.8</v>
      </c>
      <c r="L117" s="9" t="n">
        <f aca="false">I117*(1-J117)</f>
        <v>66.88</v>
      </c>
      <c r="M117" s="10" t="n">
        <f aca="false">H117*I117</f>
        <v>91770</v>
      </c>
      <c r="N117" s="10" t="n">
        <f aca="false">H117*L117</f>
        <v>64606.08</v>
      </c>
      <c r="O117" s="10" t="n">
        <f aca="false">H117*K117</f>
        <v>32650.8</v>
      </c>
      <c r="P117" s="10" t="n">
        <f aca="false">N117-O117</f>
        <v>31955.28</v>
      </c>
      <c r="Q117" s="11" t="n">
        <f aca="false">IF(N117=0,0,P117/N117)</f>
        <v>0.494617224880383</v>
      </c>
    </row>
    <row r="118" customFormat="false" ht="15" hidden="false" customHeight="false" outlineLevel="0" collapsed="false">
      <c r="A118" s="5" t="s">
        <v>97</v>
      </c>
      <c r="B118" s="5" t="s">
        <v>81</v>
      </c>
      <c r="C118" s="5" t="s">
        <v>73</v>
      </c>
      <c r="D118" s="5" t="s">
        <v>79</v>
      </c>
      <c r="E118" s="5" t="s">
        <v>54</v>
      </c>
      <c r="F118" s="5" t="s">
        <v>46</v>
      </c>
      <c r="G118" s="5" t="s">
        <v>47</v>
      </c>
      <c r="H118" s="6" t="n">
        <v>868</v>
      </c>
      <c r="I118" s="7" t="n">
        <v>40</v>
      </c>
      <c r="J118" s="8" t="n">
        <v>0.315</v>
      </c>
      <c r="K118" s="7" t="n">
        <v>5.7</v>
      </c>
      <c r="L118" s="9" t="n">
        <f aca="false">I118*(1-J118)</f>
        <v>27.4</v>
      </c>
      <c r="M118" s="10" t="n">
        <f aca="false">H118*I118</f>
        <v>34720</v>
      </c>
      <c r="N118" s="10" t="n">
        <f aca="false">H118*L118</f>
        <v>23783.2</v>
      </c>
      <c r="O118" s="10" t="n">
        <f aca="false">H118*K118</f>
        <v>4947.6</v>
      </c>
      <c r="P118" s="10" t="n">
        <f aca="false">N118-O118</f>
        <v>18835.6</v>
      </c>
      <c r="Q118" s="11" t="n">
        <f aca="false">IF(N118=0,0,P118/N118)</f>
        <v>0.791970802919708</v>
      </c>
    </row>
    <row r="119" customFormat="false" ht="15" hidden="false" customHeight="false" outlineLevel="0" collapsed="false">
      <c r="A119" s="5" t="s">
        <v>97</v>
      </c>
      <c r="B119" s="5" t="s">
        <v>81</v>
      </c>
      <c r="C119" s="5" t="s">
        <v>73</v>
      </c>
      <c r="D119" s="5" t="s">
        <v>79</v>
      </c>
      <c r="E119" s="5" t="s">
        <v>54</v>
      </c>
      <c r="F119" s="5" t="s">
        <v>48</v>
      </c>
      <c r="G119" s="5" t="s">
        <v>49</v>
      </c>
      <c r="H119" s="6" t="n">
        <v>192</v>
      </c>
      <c r="I119" s="7" t="n">
        <v>180</v>
      </c>
      <c r="J119" s="8" t="n">
        <v>0.106</v>
      </c>
      <c r="K119" s="7" t="n">
        <v>136.4</v>
      </c>
      <c r="L119" s="9" t="n">
        <f aca="false">I119*(1-J119)</f>
        <v>160.92</v>
      </c>
      <c r="M119" s="10" t="n">
        <f aca="false">H119*I119</f>
        <v>34560</v>
      </c>
      <c r="N119" s="10" t="n">
        <f aca="false">H119*L119</f>
        <v>30896.64</v>
      </c>
      <c r="O119" s="10" t="n">
        <f aca="false">H119*K119</f>
        <v>26188.8</v>
      </c>
      <c r="P119" s="10" t="n">
        <f aca="false">N119-O119</f>
        <v>4707.84</v>
      </c>
      <c r="Q119" s="11" t="n">
        <f aca="false">IF(N119=0,0,P119/N119)</f>
        <v>0.152373850360428</v>
      </c>
    </row>
    <row r="120" customFormat="false" ht="15" hidden="false" customHeight="false" outlineLevel="0" collapsed="false">
      <c r="A120" s="5" t="s">
        <v>97</v>
      </c>
      <c r="B120" s="5" t="s">
        <v>81</v>
      </c>
      <c r="C120" s="5" t="s">
        <v>73</v>
      </c>
      <c r="D120" s="5" t="s">
        <v>79</v>
      </c>
      <c r="E120" s="5" t="s">
        <v>54</v>
      </c>
      <c r="F120" s="5" t="s">
        <v>50</v>
      </c>
      <c r="G120" s="5" t="s">
        <v>51</v>
      </c>
      <c r="H120" s="6" t="n">
        <v>322</v>
      </c>
      <c r="I120" s="7" t="n">
        <v>66</v>
      </c>
      <c r="J120" s="8" t="n">
        <v>0.083</v>
      </c>
      <c r="K120" s="7" t="n">
        <v>32.2</v>
      </c>
      <c r="L120" s="9" t="n">
        <f aca="false">I120*(1-J120)</f>
        <v>60.522</v>
      </c>
      <c r="M120" s="10" t="n">
        <f aca="false">H120*I120</f>
        <v>21252</v>
      </c>
      <c r="N120" s="10" t="n">
        <f aca="false">H120*L120</f>
        <v>19488.084</v>
      </c>
      <c r="O120" s="10" t="n">
        <f aca="false">H120*K120</f>
        <v>10368.4</v>
      </c>
      <c r="P120" s="10" t="n">
        <f aca="false">N120-O120</f>
        <v>9119.684</v>
      </c>
      <c r="Q120" s="11" t="n">
        <f aca="false">IF(N120=0,0,P120/N120)</f>
        <v>0.467962063381911</v>
      </c>
    </row>
    <row r="121" customFormat="false" ht="15" hidden="false" customHeight="false" outlineLevel="0" collapsed="false">
      <c r="A121" s="5" t="s">
        <v>98</v>
      </c>
      <c r="B121" s="5" t="s">
        <v>81</v>
      </c>
      <c r="C121" s="5" t="s">
        <v>73</v>
      </c>
      <c r="D121" s="5" t="s">
        <v>74</v>
      </c>
      <c r="E121" s="5" t="s">
        <v>54</v>
      </c>
      <c r="F121" s="5" t="s">
        <v>44</v>
      </c>
      <c r="G121" s="5" t="s">
        <v>45</v>
      </c>
      <c r="H121" s="6" t="n">
        <v>900</v>
      </c>
      <c r="I121" s="7" t="n">
        <v>95</v>
      </c>
      <c r="J121" s="8" t="n">
        <v>0.329</v>
      </c>
      <c r="K121" s="7" t="n">
        <v>33.8</v>
      </c>
      <c r="L121" s="9" t="n">
        <f aca="false">I121*(1-J121)</f>
        <v>63.745</v>
      </c>
      <c r="M121" s="10" t="n">
        <f aca="false">H121*I121</f>
        <v>85500</v>
      </c>
      <c r="N121" s="10" t="n">
        <f aca="false">H121*L121</f>
        <v>57370.5</v>
      </c>
      <c r="O121" s="10" t="n">
        <f aca="false">H121*K121</f>
        <v>30420</v>
      </c>
      <c r="P121" s="10" t="n">
        <f aca="false">N121-O121</f>
        <v>26950.5</v>
      </c>
      <c r="Q121" s="11" t="n">
        <f aca="false">IF(N121=0,0,P121/N121)</f>
        <v>0.46976233430073</v>
      </c>
    </row>
    <row r="122" customFormat="false" ht="15" hidden="false" customHeight="false" outlineLevel="0" collapsed="false">
      <c r="A122" s="5" t="s">
        <v>98</v>
      </c>
      <c r="B122" s="5" t="s">
        <v>81</v>
      </c>
      <c r="C122" s="5" t="s">
        <v>73</v>
      </c>
      <c r="D122" s="5" t="s">
        <v>74</v>
      </c>
      <c r="E122" s="5" t="s">
        <v>54</v>
      </c>
      <c r="F122" s="5" t="s">
        <v>46</v>
      </c>
      <c r="G122" s="5" t="s">
        <v>47</v>
      </c>
      <c r="H122" s="6" t="n">
        <v>754</v>
      </c>
      <c r="I122" s="7" t="n">
        <v>40</v>
      </c>
      <c r="J122" s="8" t="n">
        <v>0.323</v>
      </c>
      <c r="K122" s="7" t="n">
        <v>5.7</v>
      </c>
      <c r="L122" s="9" t="n">
        <f aca="false">I122*(1-J122)</f>
        <v>27.08</v>
      </c>
      <c r="M122" s="10" t="n">
        <f aca="false">H122*I122</f>
        <v>30160</v>
      </c>
      <c r="N122" s="10" t="n">
        <f aca="false">H122*L122</f>
        <v>20418.32</v>
      </c>
      <c r="O122" s="10" t="n">
        <f aca="false">H122*K122</f>
        <v>4297.8</v>
      </c>
      <c r="P122" s="10" t="n">
        <f aca="false">N122-O122</f>
        <v>16120.52</v>
      </c>
      <c r="Q122" s="11" t="n">
        <f aca="false">IF(N122=0,0,P122/N122)</f>
        <v>0.789512555391433</v>
      </c>
    </row>
    <row r="123" customFormat="false" ht="15" hidden="false" customHeight="false" outlineLevel="0" collapsed="false">
      <c r="A123" s="5" t="s">
        <v>98</v>
      </c>
      <c r="B123" s="5" t="s">
        <v>81</v>
      </c>
      <c r="C123" s="5" t="s">
        <v>73</v>
      </c>
      <c r="D123" s="5" t="s">
        <v>74</v>
      </c>
      <c r="E123" s="5" t="s">
        <v>54</v>
      </c>
      <c r="F123" s="5" t="s">
        <v>48</v>
      </c>
      <c r="G123" s="5" t="s">
        <v>49</v>
      </c>
      <c r="H123" s="6" t="n">
        <v>177</v>
      </c>
      <c r="I123" s="7" t="n">
        <v>180</v>
      </c>
      <c r="J123" s="8" t="n">
        <v>0.096</v>
      </c>
      <c r="K123" s="7" t="n">
        <v>143.7</v>
      </c>
      <c r="L123" s="9" t="n">
        <f aca="false">I123*(1-J123)</f>
        <v>162.72</v>
      </c>
      <c r="M123" s="10" t="n">
        <f aca="false">H123*I123</f>
        <v>31860</v>
      </c>
      <c r="N123" s="10" t="n">
        <f aca="false">H123*L123</f>
        <v>28801.44</v>
      </c>
      <c r="O123" s="10" t="n">
        <f aca="false">H123*K123</f>
        <v>25434.9</v>
      </c>
      <c r="P123" s="10" t="n">
        <f aca="false">N123-O123</f>
        <v>3366.54</v>
      </c>
      <c r="Q123" s="11" t="n">
        <f aca="false">IF(N123=0,0,P123/N123)</f>
        <v>0.11688790560472</v>
      </c>
    </row>
    <row r="124" customFormat="false" ht="15" hidden="false" customHeight="false" outlineLevel="0" collapsed="false">
      <c r="A124" s="5" t="s">
        <v>98</v>
      </c>
      <c r="B124" s="5" t="s">
        <v>81</v>
      </c>
      <c r="C124" s="5" t="s">
        <v>73</v>
      </c>
      <c r="D124" s="5" t="s">
        <v>74</v>
      </c>
      <c r="E124" s="5" t="s">
        <v>54</v>
      </c>
      <c r="F124" s="5" t="s">
        <v>50</v>
      </c>
      <c r="G124" s="5" t="s">
        <v>51</v>
      </c>
      <c r="H124" s="6" t="n">
        <v>300</v>
      </c>
      <c r="I124" s="7" t="n">
        <v>66</v>
      </c>
      <c r="J124" s="8" t="n">
        <v>0.097</v>
      </c>
      <c r="K124" s="7" t="n">
        <v>32.8</v>
      </c>
      <c r="L124" s="9" t="n">
        <f aca="false">I124*(1-J124)</f>
        <v>59.598</v>
      </c>
      <c r="M124" s="10" t="n">
        <f aca="false">H124*I124</f>
        <v>19800</v>
      </c>
      <c r="N124" s="10" t="n">
        <f aca="false">H124*L124</f>
        <v>17879.4</v>
      </c>
      <c r="O124" s="10" t="n">
        <f aca="false">H124*K124</f>
        <v>9840</v>
      </c>
      <c r="P124" s="10" t="n">
        <f aca="false">N124-O124</f>
        <v>8039.4</v>
      </c>
      <c r="Q124" s="11" t="n">
        <f aca="false">IF(N124=0,0,P124/N124)</f>
        <v>0.449645961273868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.5"/>
    <col collapsed="false" customWidth="true" hidden="false" outlineLevel="0" max="4" min="4" style="0" width="20"/>
    <col collapsed="false" customWidth="true" hidden="false" outlineLevel="0" max="19" min="5" style="0" width="12.5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12" t="s">
        <v>100</v>
      </c>
    </row>
    <row r="4" customFormat="false" ht="15" hidden="false" customHeight="false" outlineLevel="0" collapsed="false">
      <c r="A4" s="3" t="s">
        <v>101</v>
      </c>
      <c r="B4" s="13" t="s">
        <v>40</v>
      </c>
      <c r="D4" s="14" t="s">
        <v>102</v>
      </c>
      <c r="E4" s="14" t="str">
        <f aca="false">B4</f>
        <v>Q2-26</v>
      </c>
      <c r="F4" s="14" t="str">
        <f aca="false">B5</f>
        <v>Q3-26</v>
      </c>
      <c r="G4" s="14" t="s">
        <v>103</v>
      </c>
    </row>
    <row r="5" customFormat="false" ht="15" hidden="false" customHeight="false" outlineLevel="0" collapsed="false">
      <c r="A5" s="3" t="s">
        <v>104</v>
      </c>
      <c r="B5" s="13" t="s">
        <v>81</v>
      </c>
      <c r="D5" s="3" t="s">
        <v>105</v>
      </c>
      <c r="E5" s="9" t="n">
        <f aca="false">SUMIFS(Deals!$N$2:$N$124,Deals!$B$2:$B$124,$B$4)/1000</f>
        <v>1475.009024</v>
      </c>
      <c r="F5" s="9" t="n">
        <f aca="false">SUMIFS(Deals!$N$2:$N$124,Deals!$B$2:$B$124,$B$5)/1000</f>
        <v>1779.508703</v>
      </c>
      <c r="G5" s="15" t="n">
        <f aca="false">IF(E5=0,0,F5/E5-1)</f>
        <v>0.206439197350972</v>
      </c>
    </row>
    <row r="6" customFormat="false" ht="15" hidden="false" customHeight="false" outlineLevel="0" collapsed="false">
      <c r="D6" s="3" t="s">
        <v>106</v>
      </c>
      <c r="E6" s="9" t="n">
        <f aca="false">SUMIFS(Deals!$P$2:$P$124,Deals!$B$2:$B$124,$B$4)/1000</f>
        <v>749.829424</v>
      </c>
      <c r="F6" s="9" t="n">
        <f aca="false">SUMIFS(Deals!$P$2:$P$124,Deals!$B$2:$B$124,$B$5)/1000</f>
        <v>862.092903</v>
      </c>
      <c r="G6" s="15" t="n">
        <f aca="false">IF(E6=0,0,F6/E6-1)</f>
        <v>0.149718689886995</v>
      </c>
    </row>
    <row r="7" customFormat="false" ht="15" hidden="false" customHeight="false" outlineLevel="0" collapsed="false">
      <c r="D7" s="3" t="s">
        <v>107</v>
      </c>
      <c r="E7" s="11" t="n">
        <f aca="false">IF(E5=0,0,E6/E5)</f>
        <v>0.508355821421741</v>
      </c>
      <c r="F7" s="11" t="n">
        <f aca="false">IF(F5=0,0,F6/F5)</f>
        <v>0.484455569982116</v>
      </c>
      <c r="G7" s="16" t="n">
        <f aca="false">F7-E7</f>
        <v>-0.0239002514396252</v>
      </c>
      <c r="H7" s="17" t="s">
        <v>108</v>
      </c>
    </row>
    <row r="10" customFormat="false" ht="42" hidden="false" customHeight="true" outlineLevel="0" collapsed="false">
      <c r="A10" s="4" t="s">
        <v>27</v>
      </c>
      <c r="B10" s="4" t="s">
        <v>109</v>
      </c>
      <c r="C10" s="4" t="s">
        <v>110</v>
      </c>
      <c r="D10" s="4" t="s">
        <v>111</v>
      </c>
      <c r="E10" s="4" t="s">
        <v>112</v>
      </c>
      <c r="F10" s="4" t="s">
        <v>113</v>
      </c>
      <c r="G10" s="4" t="s">
        <v>114</v>
      </c>
      <c r="H10" s="4" t="s">
        <v>115</v>
      </c>
      <c r="I10" s="4" t="s">
        <v>116</v>
      </c>
      <c r="J10" s="4" t="s">
        <v>117</v>
      </c>
      <c r="K10" s="4" t="s">
        <v>118</v>
      </c>
      <c r="L10" s="4" t="s">
        <v>119</v>
      </c>
      <c r="M10" s="4" t="s">
        <v>120</v>
      </c>
      <c r="N10" s="4" t="s">
        <v>121</v>
      </c>
      <c r="O10" s="4" t="s">
        <v>122</v>
      </c>
      <c r="P10" s="4" t="s">
        <v>123</v>
      </c>
      <c r="Q10" s="4" t="s">
        <v>124</v>
      </c>
      <c r="R10" s="4" t="s">
        <v>125</v>
      </c>
      <c r="S10" s="4" t="s">
        <v>126</v>
      </c>
    </row>
    <row r="11" customFormat="false" ht="15" hidden="false" customHeight="false" outlineLevel="0" collapsed="false">
      <c r="A11" s="3" t="s">
        <v>44</v>
      </c>
      <c r="B11" s="10" t="n">
        <f aca="false">SUMIFS(Deals!$H$2:$H$124,Deals!$F$2:$F$124,$A11,Deals!$B$2:$B$124,$B$4)</f>
        <v>11520</v>
      </c>
      <c r="C11" s="10" t="n">
        <f aca="false">SUMIFS(Deals!$N$2:$N$124,Deals!$F$2:$F$124,$A11,Deals!$B$2:$B$124,$B$4)</f>
        <v>782338.68</v>
      </c>
      <c r="D11" s="10" t="n">
        <f aca="false">SUMIFS(Deals!$O$2:$O$124,Deals!$F$2:$F$124,$A11,Deals!$B$2:$B$124,$B$4)</f>
        <v>383812.8</v>
      </c>
      <c r="E11" s="10" t="n">
        <f aca="false">SUMIFS(Deals!$H$2:$H$124,Deals!$F$2:$F$124,$A11,Deals!$B$2:$B$124,$B$5)</f>
        <v>13728</v>
      </c>
      <c r="F11" s="10" t="n">
        <f aca="false">SUMIFS(Deals!$N$2:$N$124,Deals!$F$2:$F$124,$A11,Deals!$B$2:$B$124,$B$5)</f>
        <v>921064.425</v>
      </c>
      <c r="G11" s="10" t="n">
        <f aca="false">SUMIFS(Deals!$O$2:$O$124,Deals!$F$2:$F$124,$A11,Deals!$B$2:$B$124,$B$5)</f>
        <v>469882.2</v>
      </c>
      <c r="H11" s="11" t="n">
        <f aca="false">IF($C$15=0,0,C11/$C$15)</f>
        <v>0.530395860140853</v>
      </c>
      <c r="I11" s="11" t="n">
        <f aca="false">IF($F$15=0,0,F11/$F$15)</f>
        <v>0.517594785261357</v>
      </c>
      <c r="J11" s="11" t="n">
        <f aca="false">IF(C11=0,0,1-D11/C11)</f>
        <v>0.509403267648738</v>
      </c>
      <c r="K11" s="11" t="n">
        <f aca="false">IF(F11=0,0,1-G11/F11)</f>
        <v>0.489848714979954</v>
      </c>
      <c r="L11" s="9" t="n">
        <f aca="false">IF(B11=0,0,C11/B11)</f>
        <v>67.91134375</v>
      </c>
      <c r="M11" s="9" t="n">
        <f aca="false">IF(E11=0,0,F11/E11)</f>
        <v>67.0938538024476</v>
      </c>
      <c r="N11" s="9" t="n">
        <f aca="false">IF(B11=0,0,D11/B11)</f>
        <v>33.3170833333333</v>
      </c>
      <c r="O11" s="9" t="n">
        <f aca="false">IF(E11=0,0,G11/E11)</f>
        <v>34.2280157342657</v>
      </c>
      <c r="P11" s="16" t="n">
        <f aca="false">(I11-H11)*(J11-$J$15)</f>
        <v>-1.34084375840323E-005</v>
      </c>
      <c r="Q11" s="16" t="n">
        <f aca="false">IF(M11=0,0,I11*((1-N11/M11)-J11))</f>
        <v>-0.00309395666383851</v>
      </c>
      <c r="R11" s="16" t="n">
        <f aca="false">IF(M11=0,0,I11*(K11-(1-N11/M11)))</f>
        <v>-0.00702737782564253</v>
      </c>
      <c r="S11" s="16" t="n">
        <f aca="false">P11+Q11+R11</f>
        <v>-0.0101347429270651</v>
      </c>
    </row>
    <row r="12" customFormat="false" ht="15" hidden="false" customHeight="false" outlineLevel="0" collapsed="false">
      <c r="A12" s="3" t="s">
        <v>46</v>
      </c>
      <c r="B12" s="10" t="n">
        <f aca="false">SUMIFS(Deals!$H$2:$H$124,Deals!$F$2:$F$124,$A12,Deals!$B$2:$B$124,$B$4)</f>
        <v>9765</v>
      </c>
      <c r="C12" s="10" t="n">
        <f aca="false">SUMIFS(Deals!$N$2:$N$124,Deals!$F$2:$F$124,$A12,Deals!$B$2:$B$124,$B$4)</f>
        <v>274321.04</v>
      </c>
      <c r="D12" s="10" t="n">
        <f aca="false">SUMIFS(Deals!$O$2:$O$124,Deals!$F$2:$F$124,$A12,Deals!$B$2:$B$124,$B$4)</f>
        <v>54726.1</v>
      </c>
      <c r="E12" s="10" t="n">
        <f aca="false">SUMIFS(Deals!$H$2:$H$124,Deals!$F$2:$F$124,$A12,Deals!$B$2:$B$124,$B$5)</f>
        <v>11455</v>
      </c>
      <c r="F12" s="10" t="n">
        <f aca="false">SUMIFS(Deals!$N$2:$N$124,Deals!$F$2:$F$124,$A12,Deals!$B$2:$B$124,$B$5)</f>
        <v>312542</v>
      </c>
      <c r="G12" s="10" t="n">
        <f aca="false">SUMIFS(Deals!$O$2:$O$124,Deals!$F$2:$F$124,$A12,Deals!$B$2:$B$124,$B$5)</f>
        <v>64034.1</v>
      </c>
      <c r="H12" s="11" t="n">
        <f aca="false">IF($C$15=0,0,C12/$C$15)</f>
        <v>0.185979228287081</v>
      </c>
      <c r="I12" s="11" t="n">
        <f aca="false">IF($F$15=0,0,F12/$F$15)</f>
        <v>0.175633869883917</v>
      </c>
      <c r="J12" s="11" t="n">
        <f aca="false">IF(C12=0,0,1-D12/C12)</f>
        <v>0.800503453909332</v>
      </c>
      <c r="K12" s="11" t="n">
        <f aca="false">IF(F12=0,0,1-G12/F12)</f>
        <v>0.795118416084878</v>
      </c>
      <c r="L12" s="9" t="n">
        <f aca="false">IF(B12=0,0,C12/B12)</f>
        <v>28.0922724014337</v>
      </c>
      <c r="M12" s="9" t="n">
        <f aca="false">IF(E12=0,0,F12/E12)</f>
        <v>27.2843299869053</v>
      </c>
      <c r="N12" s="9" t="n">
        <f aca="false">IF(B12=0,0,D12/B12)</f>
        <v>5.60431131592422</v>
      </c>
      <c r="O12" s="9" t="n">
        <f aca="false">IF(E12=0,0,G12/E12)</f>
        <v>5.59005674378001</v>
      </c>
      <c r="P12" s="16" t="n">
        <f aca="false">(I12-H12)*(J12-$J$15)</f>
        <v>-0.00302237196471984</v>
      </c>
      <c r="Q12" s="16" t="n">
        <f aca="false">IF(M12=0,0,I12*((1-N12/M12)-J12))</f>
        <v>-0.0010375541364477</v>
      </c>
      <c r="R12" s="16" t="n">
        <f aca="false">IF(M12=0,0,I12*(K12-(1-N12/M12)))</f>
        <v>9.17591038676315E-005</v>
      </c>
      <c r="S12" s="16" t="n">
        <f aca="false">P12+Q12+R12</f>
        <v>-0.0039681669972999</v>
      </c>
    </row>
    <row r="13" customFormat="false" ht="15" hidden="false" customHeight="false" outlineLevel="0" collapsed="false">
      <c r="A13" s="3" t="s">
        <v>48</v>
      </c>
      <c r="B13" s="10" t="n">
        <f aca="false">SUMIFS(Deals!$H$2:$H$124,Deals!$F$2:$F$124,$A13,Deals!$B$2:$B$124,$B$4)</f>
        <v>1155</v>
      </c>
      <c r="C13" s="10" t="n">
        <f aca="false">SUMIFS(Deals!$N$2:$N$124,Deals!$F$2:$F$124,$A13,Deals!$B$2:$B$124,$B$4)</f>
        <v>191297.16</v>
      </c>
      <c r="D13" s="10" t="n">
        <f aca="false">SUMIFS(Deals!$O$2:$O$124,Deals!$F$2:$F$124,$A13,Deals!$B$2:$B$124,$B$4)</f>
        <v>161409.7</v>
      </c>
      <c r="E13" s="10" t="n">
        <f aca="false">SUMIFS(Deals!$H$2:$H$124,Deals!$F$2:$F$124,$A13,Deals!$B$2:$B$124,$B$5)</f>
        <v>1670</v>
      </c>
      <c r="F13" s="10" t="n">
        <f aca="false">SUMIFS(Deals!$N$2:$N$124,Deals!$F$2:$F$124,$A13,Deals!$B$2:$B$124,$B$5)</f>
        <v>273157.74</v>
      </c>
      <c r="G13" s="10" t="n">
        <f aca="false">SUMIFS(Deals!$O$2:$O$124,Deals!$F$2:$F$124,$A13,Deals!$B$2:$B$124,$B$5)</f>
        <v>234066.3</v>
      </c>
      <c r="H13" s="11" t="n">
        <f aca="false">IF($C$15=0,0,C13/$C$15)</f>
        <v>0.129692196378047</v>
      </c>
      <c r="I13" s="11" t="n">
        <f aca="false">IF($F$15=0,0,F13/$F$15)</f>
        <v>0.153501772449606</v>
      </c>
      <c r="J13" s="11" t="n">
        <f aca="false">IF(C13=0,0,1-D13/C13)</f>
        <v>0.156235774749609</v>
      </c>
      <c r="K13" s="11" t="n">
        <f aca="false">IF(F13=0,0,1-G13/F13)</f>
        <v>0.143109398986827</v>
      </c>
      <c r="L13" s="9" t="n">
        <f aca="false">IF(B13=0,0,C13/B13)</f>
        <v>165.625246753247</v>
      </c>
      <c r="M13" s="9" t="n">
        <f aca="false">IF(E13=0,0,F13/E13)</f>
        <v>163.567508982036</v>
      </c>
      <c r="N13" s="9" t="n">
        <f aca="false">IF(B13=0,0,D13/B13)</f>
        <v>139.748658008658</v>
      </c>
      <c r="O13" s="9" t="n">
        <f aca="false">IF(E13=0,0,G13/E13)</f>
        <v>140.159461077844</v>
      </c>
      <c r="P13" s="16" t="n">
        <f aca="false">(I13-H13)*(J13-$J$15)</f>
        <v>-0.00838382903756099</v>
      </c>
      <c r="Q13" s="16" t="n">
        <f aca="false">IF(M13=0,0,I13*((1-N13/M13)-J13))</f>
        <v>-0.00162939917479644</v>
      </c>
      <c r="R13" s="16" t="n">
        <f aca="false">IF(M13=0,0,I13*(K13-(1-N13/M13)))</f>
        <v>-0.000385522770630181</v>
      </c>
      <c r="S13" s="16" t="n">
        <f aca="false">P13+Q13+R13</f>
        <v>-0.0103987509829876</v>
      </c>
    </row>
    <row r="14" customFormat="false" ht="15" hidden="false" customHeight="false" outlineLevel="0" collapsed="false">
      <c r="A14" s="3" t="s">
        <v>50</v>
      </c>
      <c r="B14" s="10" t="n">
        <f aca="false">SUMIFS(Deals!$H$2:$H$124,Deals!$F$2:$F$124,$A14,Deals!$B$2:$B$124,$B$4)</f>
        <v>3840</v>
      </c>
      <c r="C14" s="10" t="n">
        <f aca="false">SUMIFS(Deals!$N$2:$N$124,Deals!$F$2:$F$124,$A14,Deals!$B$2:$B$124,$B$4)</f>
        <v>227052.144</v>
      </c>
      <c r="D14" s="10" t="n">
        <f aca="false">SUMIFS(Deals!$O$2:$O$124,Deals!$F$2:$F$124,$A14,Deals!$B$2:$B$124,$B$4)</f>
        <v>125231</v>
      </c>
      <c r="E14" s="10" t="n">
        <f aca="false">SUMIFS(Deals!$H$2:$H$124,Deals!$F$2:$F$124,$A14,Deals!$B$2:$B$124,$B$5)</f>
        <v>4576</v>
      </c>
      <c r="F14" s="10" t="n">
        <f aca="false">SUMIFS(Deals!$N$2:$N$124,Deals!$F$2:$F$124,$A14,Deals!$B$2:$B$124,$B$5)</f>
        <v>272744.538</v>
      </c>
      <c r="G14" s="10" t="n">
        <f aca="false">SUMIFS(Deals!$O$2:$O$124,Deals!$F$2:$F$124,$A14,Deals!$B$2:$B$124,$B$5)</f>
        <v>149433.2</v>
      </c>
      <c r="H14" s="11" t="n">
        <f aca="false">IF($C$15=0,0,C14/$C$15)</f>
        <v>0.153932715194019</v>
      </c>
      <c r="I14" s="11" t="n">
        <f aca="false">IF($F$15=0,0,F14/$F$15)</f>
        <v>0.15326957240512</v>
      </c>
      <c r="J14" s="11" t="n">
        <f aca="false">IF(C14=0,0,1-D14/C14)</f>
        <v>0.448448282435069</v>
      </c>
      <c r="K14" s="11" t="n">
        <f aca="false">IF(F14=0,0,1-G14/F14)</f>
        <v>0.452112951204178</v>
      </c>
      <c r="L14" s="9" t="n">
        <f aca="false">IF(B14=0,0,C14/B14)</f>
        <v>59.1281625</v>
      </c>
      <c r="M14" s="9" t="n">
        <f aca="false">IF(E14=0,0,F14/E14)</f>
        <v>59.6032644230769</v>
      </c>
      <c r="N14" s="9" t="n">
        <f aca="false">IF(B14=0,0,D14/B14)</f>
        <v>32.6122395833333</v>
      </c>
      <c r="O14" s="9" t="n">
        <f aca="false">IF(E14=0,0,G14/E14)</f>
        <v>32.6558566433566</v>
      </c>
      <c r="P14" s="16" t="n">
        <f aca="false">(I14-H14)*(J14-$J$15)</f>
        <v>3.97272524796874E-005</v>
      </c>
      <c r="Q14" s="16" t="n">
        <f aca="false">IF(M14=0,0,I14*((1-N14/M14)-J14))</f>
        <v>0.000673843322597226</v>
      </c>
      <c r="R14" s="16" t="n">
        <f aca="false">IF(M14=0,0,I14*(K14-(1-N14/M14)))</f>
        <v>-0.000112161107349545</v>
      </c>
      <c r="S14" s="16" t="n">
        <f aca="false">P14+Q14+R14</f>
        <v>0.000601409467727368</v>
      </c>
    </row>
    <row r="15" customFormat="false" ht="15" hidden="false" customHeight="false" outlineLevel="0" collapsed="false">
      <c r="A15" s="18" t="s">
        <v>127</v>
      </c>
      <c r="B15" s="19" t="n">
        <f aca="false">SUM(B11:B14)</f>
        <v>26280</v>
      </c>
      <c r="C15" s="19" t="n">
        <f aca="false">SUM(C11:C14)</f>
        <v>1475009.024</v>
      </c>
      <c r="D15" s="19" t="n">
        <f aca="false">SUM(D11:D14)</f>
        <v>725179.6</v>
      </c>
      <c r="E15" s="19" t="n">
        <f aca="false">SUM(E11:E14)</f>
        <v>31429</v>
      </c>
      <c r="F15" s="19" t="n">
        <f aca="false">SUM(F11:F14)</f>
        <v>1779508.703</v>
      </c>
      <c r="G15" s="19" t="n">
        <f aca="false">SUM(G11:G14)</f>
        <v>917415.8</v>
      </c>
      <c r="H15" s="20" t="n">
        <f aca="false">SUM(H11:H14)</f>
        <v>1</v>
      </c>
      <c r="I15" s="20" t="n">
        <f aca="false">SUM(I11:I14)</f>
        <v>1</v>
      </c>
      <c r="J15" s="20" t="n">
        <f aca="false">IF(C15=0,0,1-D15/C15)</f>
        <v>0.508355821421741</v>
      </c>
      <c r="K15" s="20" t="n">
        <f aca="false">IF(F15=0,0,1-G15/F15)</f>
        <v>0.484455569982116</v>
      </c>
      <c r="L15" s="21"/>
      <c r="M15" s="21"/>
      <c r="N15" s="21"/>
      <c r="O15" s="21"/>
      <c r="P15" s="22" t="n">
        <f aca="false">SUM(P11:P14)</f>
        <v>-0.0113798821873852</v>
      </c>
      <c r="Q15" s="22" t="n">
        <f aca="false">SUM(Q11:Q14)</f>
        <v>-0.00508706665248542</v>
      </c>
      <c r="R15" s="22" t="n">
        <f aca="false">SUM(R11:R14)</f>
        <v>-0.00743330259975463</v>
      </c>
      <c r="S15" s="22" t="n">
        <f aca="false">SUM(S11:S14)</f>
        <v>-0.0239002514396252</v>
      </c>
    </row>
    <row r="17" customFormat="false" ht="15" hidden="false" customHeight="false" outlineLevel="0" collapsed="false">
      <c r="A17" s="3" t="s">
        <v>128</v>
      </c>
      <c r="F17" s="23" t="n">
        <f aca="false">S15-(K15-J15)</f>
        <v>0</v>
      </c>
      <c r="G17" s="3" t="str">
        <f aca="false">IF(ABS(F17)&lt;0.000001,"OK","Check")</f>
        <v>OK</v>
      </c>
    </row>
    <row r="20" customFormat="false" ht="15" hidden="false" customHeight="false" outlineLevel="0" collapsed="false">
      <c r="A20" s="24" t="s">
        <v>129</v>
      </c>
    </row>
    <row r="21" customFormat="false" ht="15" hidden="false" customHeight="false" outlineLevel="0" collapsed="false">
      <c r="A21" s="4" t="s">
        <v>130</v>
      </c>
      <c r="B21" s="4" t="s">
        <v>131</v>
      </c>
      <c r="C21" s="4" t="s">
        <v>132</v>
      </c>
      <c r="D21" s="4" t="s">
        <v>133</v>
      </c>
      <c r="E21" s="4" t="s">
        <v>134</v>
      </c>
      <c r="F21" s="4" t="s">
        <v>135</v>
      </c>
      <c r="G21" s="4" t="s">
        <v>127</v>
      </c>
    </row>
    <row r="22" customFormat="false" ht="15" hidden="false" customHeight="false" outlineLevel="0" collapsed="false">
      <c r="A22" s="2" t="str">
        <f aca="false">$B$4&amp;" gross margin"</f>
        <v>Q2-26 gross margin</v>
      </c>
      <c r="B22" s="25" t="n">
        <f aca="false">J15</f>
        <v>0.508355821421741</v>
      </c>
      <c r="C22" s="25" t="n">
        <f aca="false">B22</f>
        <v>0.508355821421741</v>
      </c>
      <c r="D22" s="25" t="n">
        <v>0</v>
      </c>
      <c r="E22" s="25" t="n">
        <v>0</v>
      </c>
      <c r="F22" s="25" t="n">
        <v>0</v>
      </c>
      <c r="G22" s="25" t="n">
        <f aca="false">B22</f>
        <v>0.508355821421741</v>
      </c>
    </row>
    <row r="23" customFormat="false" ht="15" hidden="false" customHeight="false" outlineLevel="0" collapsed="false">
      <c r="A23" s="2" t="s">
        <v>136</v>
      </c>
      <c r="B23" s="25" t="n">
        <f aca="false">P15</f>
        <v>-0.0113798821873852</v>
      </c>
      <c r="C23" s="25" t="n">
        <f aca="false">C22+B23</f>
        <v>0.496975939234356</v>
      </c>
      <c r="D23" s="25" t="n">
        <f aca="false">MIN(C22,C23)</f>
        <v>0.496975939234356</v>
      </c>
      <c r="E23" s="25" t="n">
        <f aca="false">MAX(0,C22-C23)</f>
        <v>0.0113798821873852</v>
      </c>
      <c r="F23" s="25" t="n">
        <f aca="false">MAX(0,C23-C22)</f>
        <v>0</v>
      </c>
      <c r="G23" s="25" t="n">
        <v>0</v>
      </c>
    </row>
    <row r="24" customFormat="false" ht="15" hidden="false" customHeight="false" outlineLevel="0" collapsed="false">
      <c r="A24" s="2" t="s">
        <v>137</v>
      </c>
      <c r="B24" s="25" t="n">
        <f aca="false">Q15</f>
        <v>-0.00508706665248542</v>
      </c>
      <c r="C24" s="25" t="n">
        <f aca="false">C23+B24</f>
        <v>0.49188887258187</v>
      </c>
      <c r="D24" s="25" t="n">
        <f aca="false">MIN(C23,C24)</f>
        <v>0.49188887258187</v>
      </c>
      <c r="E24" s="25" t="n">
        <f aca="false">MAX(0,C23-C24)</f>
        <v>0.00508706665248543</v>
      </c>
      <c r="F24" s="25" t="n">
        <f aca="false">MAX(0,C24-C23)</f>
        <v>0</v>
      </c>
      <c r="G24" s="25" t="n">
        <v>0</v>
      </c>
    </row>
    <row r="25" customFormat="false" ht="15" hidden="false" customHeight="false" outlineLevel="0" collapsed="false">
      <c r="A25" s="2" t="s">
        <v>138</v>
      </c>
      <c r="B25" s="25" t="n">
        <f aca="false">R15</f>
        <v>-0.00743330259975463</v>
      </c>
      <c r="C25" s="25" t="n">
        <f aca="false">C24+B25</f>
        <v>0.484455569982116</v>
      </c>
      <c r="D25" s="25" t="n">
        <f aca="false">MIN(C24,C25)</f>
        <v>0.484455569982116</v>
      </c>
      <c r="E25" s="25" t="n">
        <f aca="false">MAX(0,C24-C25)</f>
        <v>0.00743330259975461</v>
      </c>
      <c r="F25" s="25" t="n">
        <f aca="false">MAX(0,C25-C24)</f>
        <v>0</v>
      </c>
      <c r="G25" s="25" t="n">
        <v>0</v>
      </c>
    </row>
    <row r="26" customFormat="false" ht="15" hidden="false" customHeight="false" outlineLevel="0" collapsed="false">
      <c r="A26" s="2" t="str">
        <f aca="false">$B$5&amp;" gross margin"</f>
        <v>Q3-26 gross margin</v>
      </c>
      <c r="B26" s="25" t="n">
        <f aca="false">K15</f>
        <v>0.484455569982116</v>
      </c>
      <c r="C26" s="25" t="n">
        <f aca="false">B26</f>
        <v>0.484455569982116</v>
      </c>
      <c r="D26" s="25" t="n">
        <v>0</v>
      </c>
      <c r="E26" s="25" t="n">
        <v>0</v>
      </c>
      <c r="F26" s="25" t="n">
        <v>0</v>
      </c>
      <c r="G26" s="25" t="n">
        <f aca="false">B26</f>
        <v>0.484455569982116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12" t="s">
        <v>140</v>
      </c>
    </row>
    <row r="4" customFormat="false" ht="31.5" hidden="false" customHeight="true" outlineLevel="0" collapsed="false">
      <c r="A4" s="4" t="s">
        <v>24</v>
      </c>
      <c r="B4" s="4" t="s">
        <v>27</v>
      </c>
      <c r="C4" s="4" t="s">
        <v>141</v>
      </c>
      <c r="D4" s="4" t="s">
        <v>142</v>
      </c>
      <c r="E4" s="4" t="s">
        <v>143</v>
      </c>
      <c r="F4" s="4" t="s">
        <v>144</v>
      </c>
      <c r="G4" s="4" t="s">
        <v>145</v>
      </c>
      <c r="H4" s="4" t="s">
        <v>146</v>
      </c>
      <c r="I4" s="4" t="s">
        <v>147</v>
      </c>
    </row>
    <row r="5" customFormat="false" ht="15" hidden="false" customHeight="false" outlineLevel="0" collapsed="false">
      <c r="A5" s="2" t="s">
        <v>41</v>
      </c>
      <c r="B5" s="2" t="s">
        <v>44</v>
      </c>
      <c r="C5" s="10" t="n">
        <f aca="false">SUMIFS(Deals!$M$2:$M$124,Deals!$C$2:$C$124,$A5,Deals!$F$2:$F$124,$B5,Deals!$B$2:$B$124,'Margin Bridge'!$B$4)</f>
        <v>259635</v>
      </c>
      <c r="D5" s="10" t="n">
        <f aca="false">SUMIFS(Deals!$N$2:$N$124,Deals!$C$2:$C$124,$A5,Deals!$F$2:$F$124,$B5,Deals!$B$2:$B$124,'Margin Bridge'!$B$4)</f>
        <v>187635.45</v>
      </c>
      <c r="E5" s="26" t="n">
        <f aca="false">IF(C5=0,0,1-D5/C5)</f>
        <v>0.277310647639956</v>
      </c>
      <c r="F5" s="10" t="n">
        <f aca="false">SUMIFS(Deals!$M$2:$M$124,Deals!$C$2:$C$124,$A5,Deals!$F$2:$F$124,$B5,Deals!$B$2:$B$124,'Margin Bridge'!$B$5)</f>
        <v>261345</v>
      </c>
      <c r="G5" s="10" t="n">
        <f aca="false">SUMIFS(Deals!$N$2:$N$124,Deals!$C$2:$C$124,$A5,Deals!$F$2:$F$124,$B5,Deals!$B$2:$B$124,'Margin Bridge'!$B$5)</f>
        <v>186071.085</v>
      </c>
      <c r="H5" s="26" t="n">
        <f aca="false">IF(F5=0,0,1-G5/F5)</f>
        <v>0.28802508178844</v>
      </c>
      <c r="I5" s="27" t="n">
        <f aca="false">IF(OR(C5=0,F5=0),0,H5-E5)</f>
        <v>0.0107144341484844</v>
      </c>
    </row>
    <row r="6" customFormat="false" ht="15" hidden="false" customHeight="false" outlineLevel="0" collapsed="false">
      <c r="A6" s="2" t="s">
        <v>41</v>
      </c>
      <c r="B6" s="2" t="s">
        <v>46</v>
      </c>
      <c r="C6" s="10" t="n">
        <f aca="false">SUMIFS(Deals!$M$2:$M$124,Deals!$C$2:$C$124,$A6,Deals!$F$2:$F$124,$B6,Deals!$B$2:$B$124,'Margin Bridge'!$B$4)</f>
        <v>89480</v>
      </c>
      <c r="D6" s="10" t="n">
        <f aca="false">SUMIFS(Deals!$N$2:$N$124,Deals!$C$2:$C$124,$A6,Deals!$F$2:$F$124,$B6,Deals!$B$2:$B$124,'Margin Bridge'!$B$4)</f>
        <v>63589</v>
      </c>
      <c r="E6" s="26" t="n">
        <f aca="false">IF(C6=0,0,1-D6/C6)</f>
        <v>0.289349575324095</v>
      </c>
      <c r="F6" s="10" t="n">
        <f aca="false">SUMIFS(Deals!$M$2:$M$124,Deals!$C$2:$C$124,$A6,Deals!$F$2:$F$124,$B6,Deals!$B$2:$B$124,'Margin Bridge'!$B$5)</f>
        <v>90880</v>
      </c>
      <c r="G6" s="10" t="n">
        <f aca="false">SUMIFS(Deals!$N$2:$N$124,Deals!$C$2:$C$124,$A6,Deals!$F$2:$F$124,$B6,Deals!$B$2:$B$124,'Margin Bridge'!$B$5)</f>
        <v>63672.44</v>
      </c>
      <c r="H6" s="26" t="n">
        <f aca="false">IF(F6=0,0,1-G6/F6)</f>
        <v>0.299378961267606</v>
      </c>
      <c r="I6" s="27" t="n">
        <f aca="false">IF(OR(C6=0,F6=0),0,H6-E6)</f>
        <v>0.0100293859435109</v>
      </c>
    </row>
    <row r="7" customFormat="false" ht="15" hidden="false" customHeight="false" outlineLevel="0" collapsed="false">
      <c r="A7" s="2" t="s">
        <v>41</v>
      </c>
      <c r="B7" s="2" t="s">
        <v>48</v>
      </c>
      <c r="C7" s="10" t="n">
        <f aca="false">SUMIFS(Deals!$M$2:$M$124,Deals!$C$2:$C$124,$A7,Deals!$F$2:$F$124,$B7,Deals!$B$2:$B$124,'Margin Bridge'!$B$4)</f>
        <v>70920</v>
      </c>
      <c r="D7" s="10" t="n">
        <f aca="false">SUMIFS(Deals!$N$2:$N$124,Deals!$C$2:$C$124,$A7,Deals!$F$2:$F$124,$B7,Deals!$B$2:$B$124,'Margin Bridge'!$B$4)</f>
        <v>66044.88</v>
      </c>
      <c r="E7" s="26" t="n">
        <f aca="false">IF(C7=0,0,1-D7/C7)</f>
        <v>0.0687411167512689</v>
      </c>
      <c r="F7" s="10" t="n">
        <f aca="false">SUMIFS(Deals!$M$2:$M$124,Deals!$C$2:$C$124,$A7,Deals!$F$2:$F$124,$B7,Deals!$B$2:$B$124,'Margin Bridge'!$B$5)</f>
        <v>34020</v>
      </c>
      <c r="G7" s="10" t="n">
        <f aca="false">SUMIFS(Deals!$N$2:$N$124,Deals!$C$2:$C$124,$A7,Deals!$F$2:$F$124,$B7,Deals!$B$2:$B$124,'Margin Bridge'!$B$5)</f>
        <v>30499.56</v>
      </c>
      <c r="H7" s="26" t="n">
        <f aca="false">IF(F7=0,0,1-G7/F7)</f>
        <v>0.103481481481481</v>
      </c>
      <c r="I7" s="27" t="n">
        <f aca="false">IF(OR(C7=0,F7=0),0,H7-E7)</f>
        <v>0.0347403647302124</v>
      </c>
    </row>
    <row r="8" customFormat="false" ht="15" hidden="false" customHeight="false" outlineLevel="0" collapsed="false">
      <c r="A8" s="2" t="s">
        <v>41</v>
      </c>
      <c r="B8" s="2" t="s">
        <v>50</v>
      </c>
      <c r="C8" s="10" t="n">
        <f aca="false">SUMIFS(Deals!$M$2:$M$124,Deals!$C$2:$C$124,$A8,Deals!$F$2:$F$124,$B8,Deals!$B$2:$B$124,'Margin Bridge'!$B$4)</f>
        <v>60126</v>
      </c>
      <c r="D8" s="10" t="n">
        <f aca="false">SUMIFS(Deals!$N$2:$N$124,Deals!$C$2:$C$124,$A8,Deals!$F$2:$F$124,$B8,Deals!$B$2:$B$124,'Margin Bridge'!$B$4)</f>
        <v>54156.96</v>
      </c>
      <c r="E8" s="26" t="n">
        <f aca="false">IF(C8=0,0,1-D8/C8)</f>
        <v>0.0992755214050494</v>
      </c>
      <c r="F8" s="10" t="n">
        <f aca="false">SUMIFS(Deals!$M$2:$M$124,Deals!$C$2:$C$124,$A8,Deals!$F$2:$F$124,$B8,Deals!$B$2:$B$124,'Margin Bridge'!$B$5)</f>
        <v>60522</v>
      </c>
      <c r="G8" s="10" t="n">
        <f aca="false">SUMIFS(Deals!$N$2:$N$124,Deals!$C$2:$C$124,$A8,Deals!$F$2:$F$124,$B8,Deals!$B$2:$B$124,'Margin Bridge'!$B$5)</f>
        <v>54747</v>
      </c>
      <c r="H8" s="26" t="n">
        <f aca="false">IF(F8=0,0,1-G8/F8)</f>
        <v>0.0954198473282443</v>
      </c>
      <c r="I8" s="27" t="n">
        <f aca="false">IF(OR(C8=0,F8=0),0,H8-E8)</f>
        <v>-0.00385567407680509</v>
      </c>
    </row>
    <row r="9" customFormat="false" ht="15" hidden="false" customHeight="false" outlineLevel="0" collapsed="false">
      <c r="A9" s="2" t="s">
        <v>58</v>
      </c>
      <c r="B9" s="2" t="s">
        <v>44</v>
      </c>
      <c r="C9" s="10" t="n">
        <f aca="false">SUMIFS(Deals!$M$2:$M$124,Deals!$C$2:$C$124,$A9,Deals!$F$2:$F$124,$B9,Deals!$B$2:$B$124,'Margin Bridge'!$B$4)</f>
        <v>315780</v>
      </c>
      <c r="D9" s="10" t="n">
        <f aca="false">SUMIFS(Deals!$N$2:$N$124,Deals!$C$2:$C$124,$A9,Deals!$F$2:$F$124,$B9,Deals!$B$2:$B$124,'Margin Bridge'!$B$4)</f>
        <v>223697.925</v>
      </c>
      <c r="E9" s="26" t="n">
        <f aca="false">IF(C9=0,0,1-D9/C9)</f>
        <v>0.291601985559567</v>
      </c>
      <c r="F9" s="10" t="n">
        <f aca="false">SUMIFS(Deals!$M$2:$M$124,Deals!$C$2:$C$124,$A9,Deals!$F$2:$F$124,$B9,Deals!$B$2:$B$124,'Margin Bridge'!$B$5)</f>
        <v>306090</v>
      </c>
      <c r="G9" s="10" t="n">
        <f aca="false">SUMIFS(Deals!$N$2:$N$124,Deals!$C$2:$C$124,$A9,Deals!$F$2:$F$124,$B9,Deals!$B$2:$B$124,'Margin Bridge'!$B$5)</f>
        <v>222240.15</v>
      </c>
      <c r="H9" s="26" t="n">
        <f aca="false">IF(F9=0,0,1-G9/F9)</f>
        <v>0.273938547486034</v>
      </c>
      <c r="I9" s="27" t="n">
        <f aca="false">IF(OR(C9=0,F9=0),0,H9-E9)</f>
        <v>-0.0176634380735333</v>
      </c>
    </row>
    <row r="10" customFormat="false" ht="15" hidden="false" customHeight="false" outlineLevel="0" collapsed="false">
      <c r="A10" s="2" t="s">
        <v>58</v>
      </c>
      <c r="B10" s="2" t="s">
        <v>46</v>
      </c>
      <c r="C10" s="10" t="n">
        <f aca="false">SUMIFS(Deals!$M$2:$M$124,Deals!$C$2:$C$124,$A10,Deals!$F$2:$F$124,$B10,Deals!$B$2:$B$124,'Margin Bridge'!$B$4)</f>
        <v>113080</v>
      </c>
      <c r="D10" s="10" t="n">
        <f aca="false">SUMIFS(Deals!$N$2:$N$124,Deals!$C$2:$C$124,$A10,Deals!$F$2:$F$124,$B10,Deals!$B$2:$B$124,'Margin Bridge'!$B$4)</f>
        <v>80410.8</v>
      </c>
      <c r="E10" s="26" t="n">
        <f aca="false">IF(C10=0,0,1-D10/C10)</f>
        <v>0.288903431199151</v>
      </c>
      <c r="F10" s="10" t="n">
        <f aca="false">SUMIFS(Deals!$M$2:$M$124,Deals!$C$2:$C$124,$A10,Deals!$F$2:$F$124,$B10,Deals!$B$2:$B$124,'Margin Bridge'!$B$5)</f>
        <v>101000</v>
      </c>
      <c r="G10" s="10" t="n">
        <f aca="false">SUMIFS(Deals!$N$2:$N$124,Deals!$C$2:$C$124,$A10,Deals!$F$2:$F$124,$B10,Deals!$B$2:$B$124,'Margin Bridge'!$B$5)</f>
        <v>67099.2</v>
      </c>
      <c r="H10" s="26" t="n">
        <f aca="false">IF(F10=0,0,1-G10/F10)</f>
        <v>0.335651485148515</v>
      </c>
      <c r="I10" s="27" t="n">
        <f aca="false">IF(OR(C10=0,F10=0),0,H10-E10)</f>
        <v>0.0467480539493638</v>
      </c>
    </row>
    <row r="11" customFormat="false" ht="15" hidden="false" customHeight="false" outlineLevel="0" collapsed="false">
      <c r="A11" s="2" t="s">
        <v>58</v>
      </c>
      <c r="B11" s="2" t="s">
        <v>48</v>
      </c>
      <c r="C11" s="10" t="n">
        <f aca="false">SUMIFS(Deals!$M$2:$M$124,Deals!$C$2:$C$124,$A11,Deals!$F$2:$F$124,$B11,Deals!$B$2:$B$124,'Margin Bridge'!$B$4)</f>
        <v>41400</v>
      </c>
      <c r="D11" s="10" t="n">
        <f aca="false">SUMIFS(Deals!$N$2:$N$124,Deals!$C$2:$C$124,$A11,Deals!$F$2:$F$124,$B11,Deals!$B$2:$B$124,'Margin Bridge'!$B$4)</f>
        <v>37769.76</v>
      </c>
      <c r="E11" s="26" t="n">
        <f aca="false">IF(C11=0,0,1-D11/C11)</f>
        <v>0.0876869565217393</v>
      </c>
      <c r="F11" s="10" t="n">
        <f aca="false">SUMIFS(Deals!$M$2:$M$124,Deals!$C$2:$C$124,$A11,Deals!$F$2:$F$124,$B11,Deals!$B$2:$B$124,'Margin Bridge'!$B$5)</f>
        <v>65340</v>
      </c>
      <c r="G11" s="10" t="n">
        <f aca="false">SUMIFS(Deals!$N$2:$N$124,Deals!$C$2:$C$124,$A11,Deals!$F$2:$F$124,$B11,Deals!$B$2:$B$124,'Margin Bridge'!$B$5)</f>
        <v>59127.48</v>
      </c>
      <c r="H11" s="26" t="n">
        <f aca="false">IF(F11=0,0,1-G11/F11)</f>
        <v>0.0950798898071625</v>
      </c>
      <c r="I11" s="27" t="n">
        <f aca="false">IF(OR(C11=0,F11=0),0,H11-E11)</f>
        <v>0.00739293328542323</v>
      </c>
    </row>
    <row r="12" customFormat="false" ht="15" hidden="false" customHeight="false" outlineLevel="0" collapsed="false">
      <c r="A12" s="2" t="s">
        <v>58</v>
      </c>
      <c r="B12" s="2" t="s">
        <v>50</v>
      </c>
      <c r="C12" s="10" t="n">
        <f aca="false">SUMIFS(Deals!$M$2:$M$124,Deals!$C$2:$C$124,$A12,Deals!$F$2:$F$124,$B12,Deals!$B$2:$B$124,'Margin Bridge'!$B$4)</f>
        <v>73128</v>
      </c>
      <c r="D12" s="10" t="n">
        <f aca="false">SUMIFS(Deals!$N$2:$N$124,Deals!$C$2:$C$124,$A12,Deals!$F$2:$F$124,$B12,Deals!$B$2:$B$124,'Margin Bridge'!$B$4)</f>
        <v>65548.032</v>
      </c>
      <c r="E12" s="26" t="n">
        <f aca="false">IF(C12=0,0,1-D12/C12)</f>
        <v>0.103653429602888</v>
      </c>
      <c r="F12" s="10" t="n">
        <f aca="false">SUMIFS(Deals!$M$2:$M$124,Deals!$C$2:$C$124,$A12,Deals!$F$2:$F$124,$B12,Deals!$B$2:$B$124,'Margin Bridge'!$B$5)</f>
        <v>70884</v>
      </c>
      <c r="G12" s="10" t="n">
        <f aca="false">SUMIFS(Deals!$N$2:$N$124,Deals!$C$2:$C$124,$A12,Deals!$F$2:$F$124,$B12,Deals!$B$2:$B$124,'Margin Bridge'!$B$5)</f>
        <v>64304.658</v>
      </c>
      <c r="H12" s="26" t="n">
        <f aca="false">IF(F12=0,0,1-G12/F12)</f>
        <v>0.0928184357541899</v>
      </c>
      <c r="I12" s="27" t="n">
        <f aca="false">IF(OR(C12=0,F12=0),0,H12-E12)</f>
        <v>-0.0108349938486981</v>
      </c>
    </row>
    <row r="13" customFormat="false" ht="15" hidden="false" customHeight="false" outlineLevel="0" collapsed="false">
      <c r="A13" s="2" t="s">
        <v>66</v>
      </c>
      <c r="B13" s="2" t="s">
        <v>44</v>
      </c>
      <c r="C13" s="10" t="n">
        <f aca="false">SUMIFS(Deals!$M$2:$M$124,Deals!$C$2:$C$124,$A13,Deals!$F$2:$F$124,$B13,Deals!$B$2:$B$124,'Margin Bridge'!$B$4)</f>
        <v>268755</v>
      </c>
      <c r="D13" s="10" t="n">
        <f aca="false">SUMIFS(Deals!$N$2:$N$124,Deals!$C$2:$C$124,$A13,Deals!$F$2:$F$124,$B13,Deals!$B$2:$B$124,'Margin Bridge'!$B$4)</f>
        <v>189690.3</v>
      </c>
      <c r="E13" s="26" t="n">
        <f aca="false">IF(C13=0,0,1-D13/C13)</f>
        <v>0.294188759278897</v>
      </c>
      <c r="F13" s="10" t="n">
        <f aca="false">SUMIFS(Deals!$M$2:$M$124,Deals!$C$2:$C$124,$A13,Deals!$F$2:$F$124,$B13,Deals!$B$2:$B$124,'Margin Bridge'!$B$5)</f>
        <v>297825</v>
      </c>
      <c r="G13" s="10" t="n">
        <f aca="false">SUMIFS(Deals!$N$2:$N$124,Deals!$C$2:$C$124,$A13,Deals!$F$2:$F$124,$B13,Deals!$B$2:$B$124,'Margin Bridge'!$B$5)</f>
        <v>213402.585</v>
      </c>
      <c r="H13" s="26" t="n">
        <f aca="false">IF(F13=0,0,1-G13/F13)</f>
        <v>0.283463157894737</v>
      </c>
      <c r="I13" s="27" t="n">
        <f aca="false">IF(OR(C13=0,F13=0),0,H13-E13)</f>
        <v>-0.0107256013841603</v>
      </c>
    </row>
    <row r="14" customFormat="false" ht="15" hidden="false" customHeight="false" outlineLevel="0" collapsed="false">
      <c r="A14" s="2" t="s">
        <v>66</v>
      </c>
      <c r="B14" s="2" t="s">
        <v>46</v>
      </c>
      <c r="C14" s="10" t="n">
        <f aca="false">SUMIFS(Deals!$M$2:$M$124,Deals!$C$2:$C$124,$A14,Deals!$F$2:$F$124,$B14,Deals!$B$2:$B$124,'Margin Bridge'!$B$4)</f>
        <v>95960</v>
      </c>
      <c r="D14" s="10" t="n">
        <f aca="false">SUMIFS(Deals!$N$2:$N$124,Deals!$C$2:$C$124,$A14,Deals!$F$2:$F$124,$B14,Deals!$B$2:$B$124,'Margin Bridge'!$B$4)</f>
        <v>66441.12</v>
      </c>
      <c r="E14" s="26" t="n">
        <f aca="false">IF(C14=0,0,1-D14/C14)</f>
        <v>0.307616506877866</v>
      </c>
      <c r="F14" s="10" t="n">
        <f aca="false">SUMIFS(Deals!$M$2:$M$124,Deals!$C$2:$C$124,$A14,Deals!$F$2:$F$124,$B14,Deals!$B$2:$B$124,'Margin Bridge'!$B$5)</f>
        <v>103840</v>
      </c>
      <c r="G14" s="10" t="n">
        <f aca="false">SUMIFS(Deals!$N$2:$N$124,Deals!$C$2:$C$124,$A14,Deals!$F$2:$F$124,$B14,Deals!$B$2:$B$124,'Margin Bridge'!$B$5)</f>
        <v>71615.96</v>
      </c>
      <c r="H14" s="26" t="n">
        <f aca="false">IF(F14=0,0,1-G14/F14)</f>
        <v>0.310323959938367</v>
      </c>
      <c r="I14" s="27" t="n">
        <f aca="false">IF(OR(C14=0,F14=0),0,H14-E14)</f>
        <v>0.00270745306050102</v>
      </c>
    </row>
    <row r="15" customFormat="false" ht="15" hidden="false" customHeight="false" outlineLevel="0" collapsed="false">
      <c r="A15" s="2" t="s">
        <v>66</v>
      </c>
      <c r="B15" s="2" t="s">
        <v>48</v>
      </c>
      <c r="C15" s="10" t="n">
        <f aca="false">SUMIFS(Deals!$M$2:$M$124,Deals!$C$2:$C$124,$A15,Deals!$F$2:$F$124,$B15,Deals!$B$2:$B$124,'Margin Bridge'!$B$4)</f>
        <v>30420</v>
      </c>
      <c r="D15" s="10" t="n">
        <f aca="false">SUMIFS(Deals!$N$2:$N$124,Deals!$C$2:$C$124,$A15,Deals!$F$2:$F$124,$B15,Deals!$B$2:$B$124,'Margin Bridge'!$B$4)</f>
        <v>28013.04</v>
      </c>
      <c r="E15" s="26" t="n">
        <f aca="false">IF(C15=0,0,1-D15/C15)</f>
        <v>0.0791242603550295</v>
      </c>
      <c r="F15" s="10" t="n">
        <f aca="false">SUMIFS(Deals!$M$2:$M$124,Deals!$C$2:$C$124,$A15,Deals!$F$2:$F$124,$B15,Deals!$B$2:$B$124,'Margin Bridge'!$B$5)</f>
        <v>38880</v>
      </c>
      <c r="G15" s="10" t="n">
        <f aca="false">SUMIFS(Deals!$N$2:$N$124,Deals!$C$2:$C$124,$A15,Deals!$F$2:$F$124,$B15,Deals!$B$2:$B$124,'Margin Bridge'!$B$5)</f>
        <v>35819.28</v>
      </c>
      <c r="H15" s="26" t="n">
        <f aca="false">IF(F15=0,0,1-G15/F15)</f>
        <v>0.0787222222222223</v>
      </c>
      <c r="I15" s="27" t="n">
        <f aca="false">IF(OR(C15=0,F15=0),0,H15-E15)</f>
        <v>-0.000402038132807259</v>
      </c>
    </row>
    <row r="16" customFormat="false" ht="15" hidden="false" customHeight="false" outlineLevel="0" collapsed="false">
      <c r="A16" s="2" t="s">
        <v>66</v>
      </c>
      <c r="B16" s="2" t="s">
        <v>50</v>
      </c>
      <c r="C16" s="10" t="n">
        <f aca="false">SUMIFS(Deals!$M$2:$M$124,Deals!$C$2:$C$124,$A16,Deals!$F$2:$F$124,$B16,Deals!$B$2:$B$124,'Margin Bridge'!$B$4)</f>
        <v>62238</v>
      </c>
      <c r="D16" s="10" t="n">
        <f aca="false">SUMIFS(Deals!$N$2:$N$124,Deals!$C$2:$C$124,$A16,Deals!$F$2:$F$124,$B16,Deals!$B$2:$B$124,'Margin Bridge'!$B$4)</f>
        <v>55846.494</v>
      </c>
      <c r="E16" s="26" t="n">
        <f aca="false">IF(C16=0,0,1-D16/C16)</f>
        <v>0.102694591728526</v>
      </c>
      <c r="F16" s="10" t="n">
        <f aca="false">SUMIFS(Deals!$M$2:$M$124,Deals!$C$2:$C$124,$A16,Deals!$F$2:$F$124,$B16,Deals!$B$2:$B$124,'Margin Bridge'!$B$5)</f>
        <v>68970</v>
      </c>
      <c r="G16" s="10" t="n">
        <f aca="false">SUMIFS(Deals!$N$2:$N$124,Deals!$C$2:$C$124,$A16,Deals!$F$2:$F$124,$B16,Deals!$B$2:$B$124,'Margin Bridge'!$B$5)</f>
        <v>61227.936</v>
      </c>
      <c r="H16" s="26" t="n">
        <f aca="false">IF(F16=0,0,1-G16/F16)</f>
        <v>0.112252631578947</v>
      </c>
      <c r="I16" s="27" t="n">
        <f aca="false">IF(OR(C16=0,F16=0),0,H16-E16)</f>
        <v>0.00955803985042147</v>
      </c>
    </row>
    <row r="17" customFormat="false" ht="15" hidden="false" customHeight="false" outlineLevel="0" collapsed="false">
      <c r="A17" s="2" t="s">
        <v>73</v>
      </c>
      <c r="B17" s="2" t="s">
        <v>44</v>
      </c>
      <c r="C17" s="10" t="n">
        <f aca="false">SUMIFS(Deals!$M$2:$M$124,Deals!$C$2:$C$124,$A17,Deals!$F$2:$F$124,$B17,Deals!$B$2:$B$124,'Margin Bridge'!$B$4)</f>
        <v>250230</v>
      </c>
      <c r="D17" s="10" t="n">
        <f aca="false">SUMIFS(Deals!$N$2:$N$124,Deals!$C$2:$C$124,$A17,Deals!$F$2:$F$124,$B17,Deals!$B$2:$B$124,'Margin Bridge'!$B$4)</f>
        <v>181315.005</v>
      </c>
      <c r="E17" s="26" t="n">
        <f aca="false">IF(C17=0,0,1-D17/C17)</f>
        <v>0.275406605922551</v>
      </c>
      <c r="F17" s="10" t="n">
        <f aca="false">SUMIFS(Deals!$M$2:$M$124,Deals!$C$2:$C$124,$A17,Deals!$F$2:$F$124,$B17,Deals!$B$2:$B$124,'Margin Bridge'!$B$5)</f>
        <v>438900</v>
      </c>
      <c r="G17" s="10" t="n">
        <f aca="false">SUMIFS(Deals!$N$2:$N$124,Deals!$C$2:$C$124,$A17,Deals!$F$2:$F$124,$B17,Deals!$B$2:$B$124,'Margin Bridge'!$B$5)</f>
        <v>299350.605</v>
      </c>
      <c r="H17" s="26" t="n">
        <f aca="false">IF(F17=0,0,1-G17/F17)</f>
        <v>0.317952597402597</v>
      </c>
      <c r="I17" s="27" t="n">
        <f aca="false">IF(OR(C17=0,F17=0),0,H17-E17)</f>
        <v>0.0425459914800461</v>
      </c>
    </row>
    <row r="18" customFormat="false" ht="15" hidden="false" customHeight="false" outlineLevel="0" collapsed="false">
      <c r="A18" s="2" t="s">
        <v>73</v>
      </c>
      <c r="B18" s="2" t="s">
        <v>46</v>
      </c>
      <c r="C18" s="10" t="n">
        <f aca="false">SUMIFS(Deals!$M$2:$M$124,Deals!$C$2:$C$124,$A18,Deals!$F$2:$F$124,$B18,Deals!$B$2:$B$124,'Margin Bridge'!$B$4)</f>
        <v>92080</v>
      </c>
      <c r="D18" s="10" t="n">
        <f aca="false">SUMIFS(Deals!$N$2:$N$124,Deals!$C$2:$C$124,$A18,Deals!$F$2:$F$124,$B18,Deals!$B$2:$B$124,'Margin Bridge'!$B$4)</f>
        <v>63880.12</v>
      </c>
      <c r="E18" s="26" t="n">
        <f aca="false">IF(C18=0,0,1-D18/C18)</f>
        <v>0.306254126846221</v>
      </c>
      <c r="F18" s="10" t="n">
        <f aca="false">SUMIFS(Deals!$M$2:$M$124,Deals!$C$2:$C$124,$A18,Deals!$F$2:$F$124,$B18,Deals!$B$2:$B$124,'Margin Bridge'!$B$5)</f>
        <v>162480</v>
      </c>
      <c r="G18" s="10" t="n">
        <f aca="false">SUMIFS(Deals!$N$2:$N$124,Deals!$C$2:$C$124,$A18,Deals!$F$2:$F$124,$B18,Deals!$B$2:$B$124,'Margin Bridge'!$B$5)</f>
        <v>110154.4</v>
      </c>
      <c r="H18" s="26" t="n">
        <f aca="false">IF(F18=0,0,1-G18/F18)</f>
        <v>0.32204332840965</v>
      </c>
      <c r="I18" s="27" t="n">
        <f aca="false">IF(OR(C18=0,F18=0),0,H18-E18)</f>
        <v>0.0157892015634296</v>
      </c>
    </row>
    <row r="19" customFormat="false" ht="15" hidden="false" customHeight="false" outlineLevel="0" collapsed="false">
      <c r="A19" s="2" t="s">
        <v>73</v>
      </c>
      <c r="B19" s="2" t="s">
        <v>48</v>
      </c>
      <c r="C19" s="10" t="n">
        <f aca="false">SUMIFS(Deals!$M$2:$M$124,Deals!$C$2:$C$124,$A19,Deals!$F$2:$F$124,$B19,Deals!$B$2:$B$124,'Margin Bridge'!$B$4)</f>
        <v>65160</v>
      </c>
      <c r="D19" s="10" t="n">
        <f aca="false">SUMIFS(Deals!$N$2:$N$124,Deals!$C$2:$C$124,$A19,Deals!$F$2:$F$124,$B19,Deals!$B$2:$B$124,'Margin Bridge'!$B$4)</f>
        <v>59469.48</v>
      </c>
      <c r="E19" s="26" t="n">
        <f aca="false">IF(C19=0,0,1-D19/C19)</f>
        <v>0.0873314917127073</v>
      </c>
      <c r="F19" s="10" t="n">
        <f aca="false">SUMIFS(Deals!$M$2:$M$124,Deals!$C$2:$C$124,$A19,Deals!$F$2:$F$124,$B19,Deals!$B$2:$B$124,'Margin Bridge'!$B$5)</f>
        <v>162360</v>
      </c>
      <c r="G19" s="10" t="n">
        <f aca="false">SUMIFS(Deals!$N$2:$N$124,Deals!$C$2:$C$124,$A19,Deals!$F$2:$F$124,$B19,Deals!$B$2:$B$124,'Margin Bridge'!$B$5)</f>
        <v>147711.42</v>
      </c>
      <c r="H19" s="26" t="n">
        <f aca="false">IF(F19=0,0,1-G19/F19)</f>
        <v>0.0902228381374723</v>
      </c>
      <c r="I19" s="27" t="n">
        <f aca="false">IF(OR(C19=0,F19=0),0,H19-E19)</f>
        <v>0.00289134642476507</v>
      </c>
    </row>
    <row r="20" customFormat="false" ht="15" hidden="false" customHeight="false" outlineLevel="0" collapsed="false">
      <c r="A20" s="2" t="s">
        <v>73</v>
      </c>
      <c r="B20" s="2" t="s">
        <v>50</v>
      </c>
      <c r="C20" s="10" t="n">
        <f aca="false">SUMIFS(Deals!$M$2:$M$124,Deals!$C$2:$C$124,$A20,Deals!$F$2:$F$124,$B20,Deals!$B$2:$B$124,'Margin Bridge'!$B$4)</f>
        <v>57948</v>
      </c>
      <c r="D20" s="10" t="n">
        <f aca="false">SUMIFS(Deals!$N$2:$N$124,Deals!$C$2:$C$124,$A20,Deals!$F$2:$F$124,$B20,Deals!$B$2:$B$124,'Margin Bridge'!$B$4)</f>
        <v>51500.658</v>
      </c>
      <c r="E20" s="26" t="n">
        <f aca="false">IF(C20=0,0,1-D20/C20)</f>
        <v>0.111260820045558</v>
      </c>
      <c r="F20" s="10" t="n">
        <f aca="false">SUMIFS(Deals!$M$2:$M$124,Deals!$C$2:$C$124,$A20,Deals!$F$2:$F$124,$B20,Deals!$B$2:$B$124,'Margin Bridge'!$B$5)</f>
        <v>101640</v>
      </c>
      <c r="G20" s="10" t="n">
        <f aca="false">SUMIFS(Deals!$N$2:$N$124,Deals!$C$2:$C$124,$A20,Deals!$F$2:$F$124,$B20,Deals!$B$2:$B$124,'Margin Bridge'!$B$5)</f>
        <v>92464.944</v>
      </c>
      <c r="H20" s="26" t="n">
        <f aca="false">IF(F20=0,0,1-G20/F20)</f>
        <v>0.0902701298701298</v>
      </c>
      <c r="I20" s="27" t="n">
        <f aca="false">IF(OR(C20=0,F20=0),0,H20-E20)</f>
        <v>-0.0209906901754283</v>
      </c>
    </row>
  </sheetData>
  <conditionalFormatting sqref="I5:I20">
    <cfRule type="cellIs" priority="2" operator="greaterThanOrEqual" aboveAverage="0" equalAverage="0" bottom="0" percent="0" rank="0" text="" dxfId="4">
      <formula>0.02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2026-10-14T20:00:26Z</dcterms:created>
  <dc:creator>openpyxl</dc:creator>
  <dc:description/>
  <dc:language>en-US</dc:language>
  <cp:lastModifiedBy/>
  <dcterms:modified xsi:type="dcterms:W3CDTF">2026-10-14T20:00:28Z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